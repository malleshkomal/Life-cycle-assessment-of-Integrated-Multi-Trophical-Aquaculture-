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2.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Goal &amp; scope" sheetId="2" state="visible" r:id="rId4"/>
    <sheet name="Metadata" sheetId="3" state="visible" r:id="rId5"/>
    <sheet name="Parameters" sheetId="4" state="visible" r:id="rId6"/>
    <sheet name="LCI" sheetId="5" state="visible" r:id="rId7"/>
    <sheet name="Nutrient balance" sheetId="6" state="visible" r:id="rId8"/>
    <sheet name="Factors" sheetId="7" state="visible" r:id="rId9"/>
    <sheet name="LCIA" sheetId="8" state="visible" r:id="rId10"/>
    <sheet name="Contribution analysis" sheetId="9" state="visible" r:id="rId11"/>
    <sheet name="Allocation" sheetId="10" state="visible" r:id="rId12"/>
    <sheet name="KPI framework" sheetId="11" state="visible" r:id="rId13"/>
    <sheet name="Results" sheetId="12" state="visible" r:id="rId14"/>
    <sheet name="openLCA results" sheetId="13" state="visible" r:id="rId15"/>
    <sheet name="Sources"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<sst xmlns="http://schemas.openxmlformats.org/spreadsheetml/2006/main" count="1116" uniqueCount="576">
  <si>
    <t xml:space="preserve">IMTA project: Goal &amp; scope -&gt; LCI -&gt; LCIA -&gt; Allocation -&gt; KPI framework -&gt; Results</t>
  </si>
  <si>
    <t xml:space="preserve">ILLUSTRATIVE TEACHING EXAMPLE - invented numbers, not Greencolab data and not real ecoinvent factors.</t>
  </si>
  <si>
    <t xml:space="preserve">Tabs (work left to right)</t>
  </si>
  <si>
    <t xml:space="preserve">1. Goal &amp; scope - functional unit, boundaries, method, allocation, cut-offs, assumptions.</t>
  </si>
  <si>
    <t xml:space="preserve">1b. Metadata - project info and, per flow: source, data type, ecoinvent provider, location and pedigree data quality scores.</t>
  </si>
  <si>
    <t xml:space="preserve">2. Parameters - nutrient contents, feed recipe, prices, diesel density and emission factor, distance.</t>
  </si>
  <si>
    <t xml:space="preserve">3. LCI - inventory for one year, 2 scenarios: A fish monoculture, C IMTA (fish + seaweed + mussels) with seaweed residues composted and mussel shells reused as lime. Same structure as the openLCA model (feed as 5 ingredients, diesel in kg + combustion CO2).</t>
  </si>
  <si>
    <t xml:space="preserve">4. Nutrient balance - where N and P from the feed go. Feeds the emission rows of the LCI.</t>
  </si>
  <si>
    <t xml:space="preserve">5. Factors - impact per unit of each flow (stand-in for ecoinvent/EF values).</t>
  </si>
  <si>
    <t xml:space="preserve">6. LCIA - impact = LCI amount x factor, per category, with hotspot shares and a chart.</t>
  </si>
  <si>
    <t xml:space="preserve">6b. Contribution analysis - impacts grouped by contributor (feed, electricity, boat fuel, ropes, transport, direct emissions) with stacked charts and a pie chart.</t>
  </si>
  <si>
    <t xml:space="preserve">7. Allocation - split between fish, seaweed, mussels by mass and by economic value.</t>
  </si>
  <si>
    <t xml:space="preserve">8. KPI framework - 11 KPIs in 3 dimensions with formula, unit, target and pass/fail per scenario.</t>
  </si>
  <si>
    <t xml:space="preserve">9. Results - summary table, chart, and yellow cells to paste your real openLCA results for comparison.</t>
  </si>
  <si>
    <t xml:space="preserve">10. Sources - literature to check the illustrative values against.</t>
  </si>
  <si>
    <t xml:space="preserve">Colour code</t>
  </si>
  <si>
    <t xml:space="preserve">Blue text on yellow = input you can change. Black = formula. Change any input and everything updates.</t>
  </si>
  <si>
    <t xml:space="preserve">Things to try</t>
  </si>
  <si>
    <t xml:space="preserve">- LCI: set seaweed in scenario B to 0 -&gt; N recovery falls, eutrophication rises.</t>
  </si>
  <si>
    <t xml:space="preserve">- Parameters: change the feed recipe (more soybean meal, less fishmeal) -&gt; climate result changes.</t>
  </si>
  <si>
    <t xml:space="preserve">- Parameters: raise the fish price -&gt; economic allocation shifts burden to the fish.</t>
  </si>
  <si>
    <t xml:space="preserve">- Parameters: FCR in literature for sea bream is about 1.7-2.0. Raise feed in LCI from 60,000 to 80,000 kg and see the effect.</t>
  </si>
  <si>
    <t xml:space="preserve">Life cycle assessment of fish monoculture and IMTA aquaculture - goal and scope (ISO 14040/44)</t>
  </si>
  <si>
    <t xml:space="preserve">Item</t>
  </si>
  <si>
    <t xml:space="preserve">Choice in this model</t>
  </si>
  <si>
    <t xml:space="preserve">Why / note</t>
  </si>
  <si>
    <t xml:space="preserve">Goal</t>
  </si>
  <si>
    <t xml:space="preserve">Compare fish monoculture with IMTA including valorisation of seaweed residues and mussel shells, to support a farm design decision</t>
  </si>
  <si>
    <t xml:space="preserve">Decision support, as in cirKPI</t>
  </si>
  <si>
    <t xml:space="preserve">Functional unit</t>
  </si>
  <si>
    <t xml:space="preserve">1 kg fresh sea bream at the farm gate (plus transport to market)</t>
  </si>
  <si>
    <t xml:space="preserve">Fish is the determining product and is equal in all scenarios</t>
  </si>
  <si>
    <t xml:space="preserve">Reference flow</t>
  </si>
  <si>
    <t xml:space="preserve">40,000 kg sea bream per year</t>
  </si>
  <si>
    <t xml:space="preserve">One year of farm operation</t>
  </si>
  <si>
    <t xml:space="preserve">System boundary</t>
  </si>
  <si>
    <t xml:space="preserve">Cradle to farm gate + transport to market</t>
  </si>
  <si>
    <t xml:space="preserve">Excludes processing, retail, consumer, end of life</t>
  </si>
  <si>
    <t xml:space="preserve">Co-products</t>
  </si>
  <si>
    <t xml:space="preserve">Seaweed and mussels (scenarios B and C)</t>
  </si>
  <si>
    <t xml:space="preserve">Handled by allocation</t>
  </si>
  <si>
    <t xml:space="preserve">Allocation</t>
  </si>
  <si>
    <t xml:space="preserve">Economic (default); mass shown for comparison</t>
  </si>
  <si>
    <t xml:space="preserve">Results are sensitive to this choice - see Allocation tab</t>
  </si>
  <si>
    <t xml:space="preserve">Impact method</t>
  </si>
  <si>
    <t xml:space="preserve">EF 3.x: climate change, marine eutrophication, energy demand</t>
  </si>
  <si>
    <t xml:space="preserve">Subset of EF categories most relevant for aquaculture</t>
  </si>
  <si>
    <t xml:space="preserve">Background data</t>
  </si>
  <si>
    <t xml:space="preserve">ecoinvent 3.7 cut-off (in openLCA model); illustrative factors in this workbook</t>
  </si>
  <si>
    <t xml:space="preserve">Factors tab</t>
  </si>
  <si>
    <t xml:space="preserve">Cut-offs</t>
  </si>
  <si>
    <t xml:space="preserve">Fish juveniles and mussel seed excluded</t>
  </si>
  <si>
    <t xml:space="preserve">No suitable dataset; mussel seed is wild-collected</t>
  </si>
  <si>
    <t xml:space="preserve">Feed</t>
  </si>
  <si>
    <t xml:space="preserve">Proxy recipe of 5 ingredients</t>
  </si>
  <si>
    <t xml:space="preserve">Feed milling energy excluded</t>
  </si>
  <si>
    <t xml:space="preserve">Diesel</t>
  </si>
  <si>
    <t xml:space="preserve">Production (ecoinvent) + direct CO2 from combustion</t>
  </si>
  <si>
    <t xml:space="preserve">3.16 kg CO2 per kg diesel</t>
  </si>
  <si>
    <t xml:space="preserve">Nutrient emissions</t>
  </si>
  <si>
    <t xml:space="preserve">N and P from a mass balance</t>
  </si>
  <si>
    <t xml:space="preserve">Feed N/P minus N/P in harvested biomass</t>
  </si>
  <si>
    <t xml:space="preserve">Methodological basis</t>
  </si>
  <si>
    <t xml:space="preserve">Multi-product functional unit and allocation choices for IMTA follow the challenges identified in Hala, Chougule et al. (2024)</t>
  </si>
  <si>
    <t xml:space="preserve">Aquaculture 590, 741035</t>
  </si>
  <si>
    <t xml:space="preserve">LCI format</t>
  </si>
  <si>
    <t xml:space="preserve">Inventory documented and shared in the LCIS2024 structure (dataset, properties, metadata, network, environment)</t>
  </si>
  <si>
    <t xml:space="preserve">Nair, Chougule, Gomez, Brand-Daniels (2025), J. Clean. Prod. 520, 146120, doi:10.1016/j.jclepro.2025.146120</t>
  </si>
  <si>
    <t xml:space="preserve">Waste valorisation (C)</t>
  </si>
  <si>
    <t xml:space="preserve">Seaweed residues composted (replace mineral N fertiliser); mussel shells crushed (replace ground limestone)</t>
  </si>
  <si>
    <t xml:space="preserve">Modelled by system expansion: avoided products as credits, applied before allocation</t>
  </si>
  <si>
    <t xml:space="preserve">Not modelled</t>
  </si>
  <si>
    <t xml:space="preserve">Mussel biodeposits, fish processing waste</t>
  </si>
  <si>
    <t xml:space="preserve">Biodeposits would need a deposit feeder (4th species)</t>
  </si>
  <si>
    <t xml:space="preserve">Metadata - documentation of every flow and data choice</t>
  </si>
  <si>
    <t xml:space="preserve">Project metadata</t>
  </si>
  <si>
    <t xml:space="preserve">Project</t>
  </si>
  <si>
    <t xml:space="preserve">IMTA farm LCA - monoculture vs IMTA (teaching example)</t>
  </si>
  <si>
    <t xml:space="preserve">Author</t>
  </si>
  <si>
    <t xml:space="preserve">Komal Mallesh Chougule</t>
  </si>
  <si>
    <t xml:space="preserve">Version</t>
  </si>
  <si>
    <t xml:space="preserve">v1.0</t>
  </si>
  <si>
    <t xml:space="preserve">Date</t>
  </si>
  <si>
    <t xml:space="preserve">2026-10-23</t>
  </si>
  <si>
    <t xml:space="preserve">Standard</t>
  </si>
  <si>
    <t xml:space="preserve">ISO 14040/44</t>
  </si>
  <si>
    <t xml:space="preserve">1 kg fresh sea bream at farm gate, incl. transport to market</t>
  </si>
  <si>
    <t xml:space="preserve">Scenarios</t>
  </si>
  <si>
    <t xml:space="preserve">A: fish monoculture; B: IMTA (fish + seaweed + mussels)</t>
  </si>
  <si>
    <t xml:space="preserve">Reference period</t>
  </si>
  <si>
    <t xml:space="preserve">1 year of operation</t>
  </si>
  <si>
    <t xml:space="preserve">Background database</t>
  </si>
  <si>
    <t xml:space="preserve">ecoinvent 3.7 cut-off (openLCA model); illustrative factors in this workbook</t>
  </si>
  <si>
    <t xml:space="preserve">EF 3.x</t>
  </si>
  <si>
    <t xml:space="preserve">Economic (default), mass for sensitivity</t>
  </si>
  <si>
    <t xml:space="preserve">Status</t>
  </si>
  <si>
    <t xml:space="preserve">Illustrative - activity data and factors are not measured or database values</t>
  </si>
  <si>
    <t xml:space="preserve">Flow metadata (pedigree scores 1 = best, 5 = worst)</t>
  </si>
  <si>
    <t xml:space="preserve">Flow</t>
  </si>
  <si>
    <t xml:space="preserve">Flow type</t>
  </si>
  <si>
    <t xml:space="preserve">Unit</t>
  </si>
  <si>
    <t xml:space="preserve">Amount scenario B</t>
  </si>
  <si>
    <t xml:space="preserve">Amount source</t>
  </si>
  <si>
    <t xml:space="preserve">Data type</t>
  </si>
  <si>
    <t xml:space="preserve">ecoinvent provider (openLCA)</t>
  </si>
  <si>
    <t xml:space="preserve">Location</t>
  </si>
  <si>
    <t xml:space="preserve">Factor source</t>
  </si>
  <si>
    <t xml:space="preserve">Reliability</t>
  </si>
  <si>
    <t xml:space="preserve">Completeness</t>
  </si>
  <si>
    <t xml:space="preserve">Temporal</t>
  </si>
  <si>
    <t xml:space="preserve">Geographical</t>
  </si>
  <si>
    <t xml:space="preserve">Technological</t>
  </si>
  <si>
    <t xml:space="preserve">Data quality (mean)</t>
  </si>
  <si>
    <t xml:space="preserve">Notes / assumptions</t>
  </si>
  <si>
    <t xml:space="preserve">Fish feed (total)</t>
  </si>
  <si>
    <t xml:space="preserve">activity</t>
  </si>
  <si>
    <t xml:space="preserve">kg</t>
  </si>
  <si>
    <t xml:space="preserve">Assumed FCR 1.5</t>
  </si>
  <si>
    <t xml:space="preserve">Assumption</t>
  </si>
  <si>
    <t xml:space="preserve">- (split into 5 ingredients)</t>
  </si>
  <si>
    <t xml:space="preserve">-</t>
  </si>
  <si>
    <t xml:space="preserve">Literature FCR for sea bream about 1.7-2.0</t>
  </si>
  <si>
    <t xml:space="preserve">Fishmeal, 63-65% protein</t>
  </si>
  <si>
    <t xml:space="preserve">technosphere</t>
  </si>
  <si>
    <t xml:space="preserve">Feed x recipe share</t>
  </si>
  <si>
    <t xml:space="preserve">Calculated</t>
  </si>
  <si>
    <t xml:space="preserve">fishmeal and fish oil production</t>
  </si>
  <si>
    <t xml:space="preserve">PE</t>
  </si>
  <si>
    <t xml:space="preserve">Illustrative</t>
  </si>
  <si>
    <t xml:space="preserve">Recipe share 25%</t>
  </si>
  <si>
    <t xml:space="preserve">Fish oil, from anchovy</t>
  </si>
  <si>
    <t xml:space="preserve">market for fish oil</t>
  </si>
  <si>
    <t xml:space="preserve">GLO</t>
  </si>
  <si>
    <t xml:space="preserve">Recipe share 10%</t>
  </si>
  <si>
    <t xml:space="preserve">Soybean meal</t>
  </si>
  <si>
    <t xml:space="preserve">soybean meal and crude oil production</t>
  </si>
  <si>
    <t xml:space="preserve">BR</t>
  </si>
  <si>
    <t xml:space="preserve">Land-use change can dominate</t>
  </si>
  <si>
    <t xml:space="preserve">Wheat grain, feed</t>
  </si>
  <si>
    <t xml:space="preserve">market for wheat grain, feed</t>
  </si>
  <si>
    <t xml:space="preserve">Rape oil, crude</t>
  </si>
  <si>
    <t xml:space="preserve">market for rape oil, crude</t>
  </si>
  <si>
    <t xml:space="preserve">CH (to change to RoW)</t>
  </si>
  <si>
    <t xml:space="preserve">Provider chosen by auto-link</t>
  </si>
  <si>
    <t xml:space="preserve">Electricity, low voltage</t>
  </si>
  <si>
    <t xml:space="preserve">kWh</t>
  </si>
  <si>
    <t xml:space="preserve">Assumed farm demand</t>
  </si>
  <si>
    <t xml:space="preserve">market for electricity, low voltage</t>
  </si>
  <si>
    <t xml:space="preserve">PT</t>
  </si>
  <si>
    <t xml:space="preserve">Pumps and aeration</t>
  </si>
  <si>
    <t xml:space="preserve">Litres x 0.84 kg/L</t>
  </si>
  <si>
    <t xml:space="preserve">market for diesel</t>
  </si>
  <si>
    <t xml:space="preserve">Europe without Switzerland</t>
  </si>
  <si>
    <t xml:space="preserve">Production only</t>
  </si>
  <si>
    <t xml:space="preserve">Polypropylene, granulate</t>
  </si>
  <si>
    <t xml:space="preserve">Assumed rope and net mass</t>
  </si>
  <si>
    <t xml:space="preserve">polypropylene production</t>
  </si>
  <si>
    <t xml:space="preserve">RoW</t>
  </si>
  <si>
    <t xml:space="preserve">Rope extrusion not included</t>
  </si>
  <si>
    <t xml:space="preserve">Transport, freight, lorry</t>
  </si>
  <si>
    <t xml:space="preserve">t*km</t>
  </si>
  <si>
    <t xml:space="preserve">Harvest t x 300 km</t>
  </si>
  <si>
    <t xml:space="preserve">transport, freight, lorry</t>
  </si>
  <si>
    <t xml:space="preserve">RoW (to change to RER)</t>
  </si>
  <si>
    <t xml:space="preserve">Distance assumed</t>
  </si>
  <si>
    <t xml:space="preserve">Sea bream, fresh</t>
  </si>
  <si>
    <t xml:space="preserve">product</t>
  </si>
  <si>
    <t xml:space="preserve">Assumed harvest</t>
  </si>
  <si>
    <t xml:space="preserve">- (reference product)</t>
  </si>
  <si>
    <t xml:space="preserve">Seaweed, fresh</t>
  </si>
  <si>
    <t xml:space="preserve">co-product</t>
  </si>
  <si>
    <t xml:space="preserve">Wet weight</t>
  </si>
  <si>
    <t xml:space="preserve">Mussels, fresh</t>
  </si>
  <si>
    <t xml:space="preserve">Incl. shell</t>
  </si>
  <si>
    <t xml:space="preserve">Nitrogen, to ocean</t>
  </si>
  <si>
    <t xml:space="preserve">elementary</t>
  </si>
  <si>
    <t xml:space="preserve">Nutrient mass balance</t>
  </si>
  <si>
    <t xml:space="preserve">- (EF elementary flow)</t>
  </si>
  <si>
    <t xml:space="preserve">EF characterisation</t>
  </si>
  <si>
    <t xml:space="preserve">Feed N minus N in all products</t>
  </si>
  <si>
    <t xml:space="preserve">Phosphorus, to ocean</t>
  </si>
  <si>
    <t xml:space="preserve">Not in EF marine eutrophication</t>
  </si>
  <si>
    <t xml:space="preserve">Carbon dioxide, fossil</t>
  </si>
  <si>
    <t xml:space="preserve">Diesel kg x 3.16</t>
  </si>
  <si>
    <t xml:space="preserve">- (combustion)</t>
  </si>
  <si>
    <t xml:space="preserve">Stoichiometric</t>
  </si>
  <si>
    <t xml:space="preserve">Direct boat emissions</t>
  </si>
  <si>
    <t xml:space="preserve">Fish juveniles</t>
  </si>
  <si>
    <t xml:space="preserve">cut-off</t>
  </si>
  <si>
    <t xml:space="preserve">piece</t>
  </si>
  <si>
    <t xml:space="preserve">Assumed stocking</t>
  </si>
  <si>
    <t xml:space="preserve">- (excluded)</t>
  </si>
  <si>
    <t xml:space="preserve">No dataset; excluded</t>
  </si>
  <si>
    <t xml:space="preserve">Mussel seed</t>
  </si>
  <si>
    <t xml:space="preserve">Assumed</t>
  </si>
  <si>
    <t xml:space="preserve">Wild-collected; excluded</t>
  </si>
  <si>
    <t xml:space="preserve">Pedigree matrix (Weidema): 1 = very good, 5 = poor, per indicator.</t>
  </si>
  <si>
    <t xml:space="preserve">Green = good (&lt;=2.5), yellow = fair, red = poor (&gt;=3.5): poor-quality flows with a high contribution are the priority for better data.</t>
  </si>
  <si>
    <t xml:space="preserve">Data type: Calculated = derived by formula from other data; Assumption = estimate to be replaced by measured farm data.</t>
  </si>
  <si>
    <t xml:space="preserve">Parameters</t>
  </si>
  <si>
    <t xml:space="preserve">Parameter</t>
  </si>
  <si>
    <t xml:space="preserve">Value</t>
  </si>
  <si>
    <t xml:space="preserve">Note</t>
  </si>
  <si>
    <t xml:space="preserve">Source / status</t>
  </si>
  <si>
    <t xml:space="preserve">Feed recipe: fishmeal</t>
  </si>
  <si>
    <t xml:space="preserve">share</t>
  </si>
  <si>
    <t xml:space="preserve">proxy recipe</t>
  </si>
  <si>
    <t xml:space="preserve">Assumption (illustrative) - not taken from a specific source</t>
  </si>
  <si>
    <t xml:space="preserve">Feed recipe: fish oil</t>
  </si>
  <si>
    <t xml:space="preserve">Feed recipe: soybean meal</t>
  </si>
  <si>
    <t xml:space="preserve">Feed recipe: wheat grain</t>
  </si>
  <si>
    <t xml:space="preserve">Feed recipe: rapeseed oil</t>
  </si>
  <si>
    <t xml:space="preserve">N content of feed</t>
  </si>
  <si>
    <t xml:space="preserve">kg N/kg</t>
  </si>
  <si>
    <t xml:space="preserve">Assumption (illustrative) - not taken from a specific source; feed ~44% crude protein / 6.25</t>
  </si>
  <si>
    <t xml:space="preserve">P content of feed</t>
  </si>
  <si>
    <t xml:space="preserve">kg P/kg</t>
  </si>
  <si>
    <t xml:space="preserve">N content of fish</t>
  </si>
  <si>
    <t xml:space="preserve">fresh weight</t>
  </si>
  <si>
    <t xml:space="preserve">Assumption (illustrative) - not taken from a specific source; implies 29% N retention - compare Checked vs Nederlof et al. 2021 (Rev. Aquacult.), via Global Seafood Alliance 2022: fish retain ~43% N, 24% P (salmon); open-water IMTA extractive species recover ~7% N, 16% P</t>
  </si>
  <si>
    <t xml:space="preserve">P content of fish</t>
  </si>
  <si>
    <t xml:space="preserve">Assumption (illustrative) - not taken from a specific source; implies 28% P retention - compare Checked vs Nederlof et al. 2021 (Rev. Aquacult.), via Global Seafood Alliance 2022: fish retain ~43% N, 24% P (salmon); open-water IMTA extractive species recover ~7% N, 16% P</t>
  </si>
  <si>
    <t xml:space="preserve">N content of seaweed</t>
  </si>
  <si>
    <t xml:space="preserve">Assumption (illustrative) - not taken from a specific source; recovery check: Checked vs Nederlof et al. 2021 (Rev. Aquacult.), via Global Seafood Alliance 2022: fish retain ~43% N, 24% P (salmon); open-water IMTA extractive species recover ~7% N, 16% P</t>
  </si>
  <si>
    <t xml:space="preserve">P content of seaweed</t>
  </si>
  <si>
    <t xml:space="preserve">N content of mussels</t>
  </si>
  <si>
    <t xml:space="preserve">incl. shell</t>
  </si>
  <si>
    <t xml:space="preserve">P content of mussels</t>
  </si>
  <si>
    <t xml:space="preserve">Price fish</t>
  </si>
  <si>
    <t xml:space="preserve">EUR/kg</t>
  </si>
  <si>
    <t xml:space="preserve">farm gate</t>
  </si>
  <si>
    <t xml:space="preserve">Price seaweed</t>
  </si>
  <si>
    <t xml:space="preserve">Price mussels</t>
  </si>
  <si>
    <t xml:space="preserve">Diesel density</t>
  </si>
  <si>
    <t xml:space="preserve">kg/L</t>
  </si>
  <si>
    <t xml:space="preserve">CO2 from diesel combustion</t>
  </si>
  <si>
    <t xml:space="preserve">kg CO2/kg diesel</t>
  </si>
  <si>
    <t xml:space="preserve">Transport distance to market</t>
  </si>
  <si>
    <t xml:space="preserve">km</t>
  </si>
  <si>
    <t xml:space="preserve">lorry</t>
  </si>
  <si>
    <t xml:space="preserve">Mussel shell share of live weight</t>
  </si>
  <si>
    <t xml:space="preserve">kg/kg</t>
  </si>
  <si>
    <t xml:space="preserve">shells valorised in C</t>
  </si>
  <si>
    <t xml:space="preserve">Assumption (illustrative) - not taken from a specific source; rough check: shell about one third of total weight in M. galloprovincialis (Azizi et al. 2020, EasyChair preprint 2857)</t>
  </si>
  <si>
    <t xml:space="preserve">Electricity for shell crushing</t>
  </si>
  <si>
    <t xml:space="preserve">kWh/t shell</t>
  </si>
  <si>
    <t xml:space="preserve">Transport distance shells and residues</t>
  </si>
  <si>
    <t xml:space="preserve">to lime / compost user</t>
  </si>
  <si>
    <t xml:space="preserve">Limestone substituted per kg shell</t>
  </si>
  <si>
    <t xml:space="preserve">CaCO3 1:1</t>
  </si>
  <si>
    <t xml:space="preserve">Mineral N fertiliser substituted per kg compost N</t>
  </si>
  <si>
    <t xml:space="preserve">plant-available share</t>
  </si>
  <si>
    <t xml:space="preserve">N lost to water from composting and use</t>
  </si>
  <si>
    <t xml:space="preserve">kg/kg N</t>
  </si>
  <si>
    <t xml:space="preserve">Seaweed residues generated (trimmings, broken fronds)</t>
  </si>
  <si>
    <t xml:space="preserve">kg/yr</t>
  </si>
  <si>
    <t xml:space="preserve">left in the sea in B, collected in C</t>
  </si>
  <si>
    <t xml:space="preserve">Check: recipe shares sum</t>
  </si>
  <si>
    <t xml:space="preserve">Life Cycle Inventory - one year of farm operation</t>
  </si>
  <si>
    <t xml:space="preserve">A: Fish monoculture</t>
  </si>
  <si>
    <t xml:space="preserve">C: IMTA + waste valorisation</t>
  </si>
  <si>
    <t xml:space="preserve">Type</t>
  </si>
  <si>
    <t xml:space="preserve">Activity data (entered by the farm)</t>
  </si>
  <si>
    <t xml:space="preserve">FCR = feed/fish</t>
  </si>
  <si>
    <t xml:space="preserve">Assumption (illustrative) - not taken from a specific source; Checked vs Garcia Garcia et al. 2016 (Sustainability 8:1228): FCR about 2, 1.7 tested - 1.5 here is optimistic</t>
  </si>
  <si>
    <t xml:space="preserve">Diesel used by boats</t>
  </si>
  <si>
    <t xml:space="preserve">L</t>
  </si>
  <si>
    <t xml:space="preserve">cut-off, wild-collected</t>
  </si>
  <si>
    <t xml:space="preserve">Inputs from technosphere (linked to ecoinvent in openLCA)</t>
  </si>
  <si>
    <t xml:space="preserve">market/production, PE</t>
  </si>
  <si>
    <t xml:space="preserve">Calculated by formula from Parameters</t>
  </si>
  <si>
    <t xml:space="preserve">market, GLO</t>
  </si>
  <si>
    <t xml:space="preserve">market</t>
  </si>
  <si>
    <t xml:space="preserve">market, PT</t>
  </si>
  <si>
    <t xml:space="preserve">ropes and nets</t>
  </si>
  <si>
    <t xml:space="preserve">harvest t x distance</t>
  </si>
  <si>
    <t xml:space="preserve">Products (outputs)</t>
  </si>
  <si>
    <t xml:space="preserve">Sea bream, fresh (reference)</t>
  </si>
  <si>
    <t xml:space="preserve">Total harvest</t>
  </si>
  <si>
    <t xml:space="preserve">Elementary flows (emissions)</t>
  </si>
  <si>
    <t xml:space="preserve">kg N</t>
  </si>
  <si>
    <t xml:space="preserve">water/ocean</t>
  </si>
  <si>
    <t xml:space="preserve">kg P</t>
  </si>
  <si>
    <t xml:space="preserve">Carbon dioxide, fossil (diesel combustion)</t>
  </si>
  <si>
    <t xml:space="preserve">kg CO2</t>
  </si>
  <si>
    <t xml:space="preserve">air/unspecified</t>
  </si>
  <si>
    <t xml:space="preserve">Waste valorisation (scenario C)</t>
  </si>
  <si>
    <t xml:space="preserve">Seaweed residues collected</t>
  </si>
  <si>
    <t xml:space="preserve">composted, used as soil amendment</t>
  </si>
  <si>
    <t xml:space="preserve">Mussel shells valorised</t>
  </si>
  <si>
    <t xml:space="preserve">crushed, used as lime</t>
  </si>
  <si>
    <t xml:space="preserve">Electricity, shell crushing</t>
  </si>
  <si>
    <t xml:space="preserve">Transport, shells and residues</t>
  </si>
  <si>
    <t xml:space="preserve">Composting of seaweed residues</t>
  </si>
  <si>
    <t xml:space="preserve">treatment process</t>
  </si>
  <si>
    <t xml:space="preserve">Ground limestone (avoided)</t>
  </si>
  <si>
    <t xml:space="preserve">avoided product</t>
  </si>
  <si>
    <t xml:space="preserve">negative = credit</t>
  </si>
  <si>
    <t xml:space="preserve">Mineral N fertiliser (avoided)</t>
  </si>
  <si>
    <t xml:space="preserve">Nitrogen to water from compost use</t>
  </si>
  <si>
    <t xml:space="preserve">water/unspecified</t>
  </si>
  <si>
    <t xml:space="preserve">Not modelled: mussel biodeposits (faeces) - using them would need a deposit feeder (e.g. sea cucumbers).</t>
  </si>
  <si>
    <t xml:space="preserve">Nutrient balance - where do N and P from the feed go?</t>
  </si>
  <si>
    <t xml:space="preserve">N in feed</t>
  </si>
  <si>
    <t xml:space="preserve">N kept in fish</t>
  </si>
  <si>
    <t xml:space="preserve">N taken up by seaweed (incl. collected residues)</t>
  </si>
  <si>
    <t xml:space="preserve">N taken up by mussels</t>
  </si>
  <si>
    <t xml:space="preserve">N released by fish (feed - fish)</t>
  </si>
  <si>
    <t xml:space="preserve">N recovered by extractive species</t>
  </si>
  <si>
    <t xml:space="preserve">N emitted to sea</t>
  </si>
  <si>
    <t xml:space="preserve">Phosphorus</t>
  </si>
  <si>
    <t xml:space="preserve">P in feed</t>
  </si>
  <si>
    <t xml:space="preserve">P kept in fish</t>
  </si>
  <si>
    <t xml:space="preserve">P taken up by seaweed (incl. collected residues)</t>
  </si>
  <si>
    <t xml:space="preserve">P taken up by mussels</t>
  </si>
  <si>
    <t xml:space="preserve">P released by fish (feed - fish)</t>
  </si>
  <si>
    <t xml:space="preserve">P recovered by extractive species</t>
  </si>
  <si>
    <t xml:space="preserve">P emitted to sea</t>
  </si>
  <si>
    <t xml:space="preserve">Impact factors per unit of flow (stand-in for ecoinvent + EF values)</t>
  </si>
  <si>
    <t xml:space="preserve">Climate change
(kg CO2-eq/unit)</t>
  </si>
  <si>
    <t xml:space="preserve">Marine eutrophication
(kg N-eq/unit)</t>
  </si>
  <si>
    <t xml:space="preserve">Energy demand
(MJ/unit)</t>
  </si>
  <si>
    <t xml:space="preserve">Illustrative round value - NOT from ecoinvent. Real values: see 'openLCA results' (ecoinvent 3.7 cut-off, EF 3.1)</t>
  </si>
  <si>
    <t xml:space="preserve">land-use change can raise this strongly</t>
  </si>
  <si>
    <t xml:space="preserve">PT grid</t>
  </si>
  <si>
    <t xml:space="preserve">production only</t>
  </si>
  <si>
    <t xml:space="preserve">EF marine eutrophication counts N</t>
  </si>
  <si>
    <t xml:space="preserve">P counts in freshwater eutrophication</t>
  </si>
  <si>
    <t xml:space="preserve">by definition</t>
  </si>
  <si>
    <t xml:space="preserve">CH4/N2O from composting</t>
  </si>
  <si>
    <t xml:space="preserve">credit when amount is negative</t>
  </si>
  <si>
    <t xml:space="preserve">Nitrogen to water (compost)</t>
  </si>
  <si>
    <t xml:space="preserve">Life Cycle Impact Assessment - farm total per year (impact = LCI x factor)</t>
  </si>
  <si>
    <t xml:space="preserve">Share of total (C)</t>
  </si>
  <si>
    <t xml:space="preserve">Climate change</t>
  </si>
  <si>
    <t xml:space="preserve">kg CO2-eq</t>
  </si>
  <si>
    <t xml:space="preserve">Diesel (production)</t>
  </si>
  <si>
    <t xml:space="preserve">Shell crushing electricity</t>
  </si>
  <si>
    <t xml:space="preserve">Transport shells and residues</t>
  </si>
  <si>
    <t xml:space="preserve">Composting seaweed residues</t>
  </si>
  <si>
    <t xml:space="preserve">Avoided limestone (credit)</t>
  </si>
  <si>
    <t xml:space="preserve">Avoided N fertiliser (credit)</t>
  </si>
  <si>
    <t xml:space="preserve">N to water from compost</t>
  </si>
  <si>
    <t xml:space="preserve">Total climate change</t>
  </si>
  <si>
    <t xml:space="preserve">  of which feed (5 ingredients)</t>
  </si>
  <si>
    <t xml:space="preserve">Marine eutrophication</t>
  </si>
  <si>
    <t xml:space="preserve">kg N-eq</t>
  </si>
  <si>
    <t xml:space="preserve">Total marine eutrophication</t>
  </si>
  <si>
    <t xml:space="preserve">Energy demand</t>
  </si>
  <si>
    <t xml:space="preserve">MJ</t>
  </si>
  <si>
    <t xml:space="preserve">Total energy demand</t>
  </si>
  <si>
    <t xml:space="preserve">Contribution analysis - which part of the system causes the impact?</t>
  </si>
  <si>
    <t xml:space="preserve">Climate change (kg CO2-eq per year, whole farm)</t>
  </si>
  <si>
    <t xml:space="preserve">Contributor</t>
  </si>
  <si>
    <t xml:space="preserve">Share A</t>
  </si>
  <si>
    <t xml:space="preserve">Share C</t>
  </si>
  <si>
    <t xml:space="preserve">Feed (5 ingredients)</t>
  </si>
  <si>
    <t xml:space="preserve">Electricity</t>
  </si>
  <si>
    <t xml:space="preserve">Boat fuel (diesel + combustion)</t>
  </si>
  <si>
    <t xml:space="preserve">Ropes and nets (PP)</t>
  </si>
  <si>
    <t xml:space="preserve">Transport to market</t>
  </si>
  <si>
    <t xml:space="preserve">Direct N and P emissions</t>
  </si>
  <si>
    <t xml:space="preserve">Waste valorisation processes</t>
  </si>
  <si>
    <t xml:space="preserve">Credits: avoided lime and fertiliser</t>
  </si>
  <si>
    <t xml:space="preserve">Total</t>
  </si>
  <si>
    <t xml:space="preserve">Marine eutrophication (kg N-eq per year, whole farm)</t>
  </si>
  <si>
    <t xml:space="preserve">Energy demand (MJ per year, whole farm)</t>
  </si>
  <si>
    <t xml:space="preserve">Reading: the largest share in each category is the hotspot - the place where improvement has the biggest effect.</t>
  </si>
  <si>
    <t xml:space="preserve">Climate: feed dominates. Eutrophication: direct nitrogen from the fish dominates, and IMTA reduces it. Waste valorisation (C) adds small processes and small credits - minor for climate.</t>
  </si>
  <si>
    <t xml:space="preserve">Allocation - splitting the farm's impact between fish, seaweed and mussels</t>
  </si>
  <si>
    <t xml:space="preserve">Farm climate change</t>
  </si>
  <si>
    <t xml:space="preserve">Farm marine eutrophication</t>
  </si>
  <si>
    <t xml:space="preserve">Farm energy demand</t>
  </si>
  <si>
    <t xml:space="preserve">Mass allocation factors</t>
  </si>
  <si>
    <t xml:space="preserve">Mass share fish</t>
  </si>
  <si>
    <t xml:space="preserve">%</t>
  </si>
  <si>
    <t xml:space="preserve">Mass share seaweed</t>
  </si>
  <si>
    <t xml:space="preserve">Mass share mussels</t>
  </si>
  <si>
    <t xml:space="preserve">Economic allocation factors</t>
  </si>
  <si>
    <t xml:space="preserve">Revenue fish</t>
  </si>
  <si>
    <t xml:space="preserve">EUR</t>
  </si>
  <si>
    <t xml:space="preserve">Revenue seaweed</t>
  </si>
  <si>
    <t xml:space="preserve">Revenue mussels</t>
  </si>
  <si>
    <t xml:space="preserve">Total revenue</t>
  </si>
  <si>
    <t xml:space="preserve">Economic share fish</t>
  </si>
  <si>
    <t xml:space="preserve">Economic share seaweed</t>
  </si>
  <si>
    <t xml:space="preserve">Economic share mussels</t>
  </si>
  <si>
    <t xml:space="preserve">Results per kg product</t>
  </si>
  <si>
    <t xml:space="preserve">Climate change per kg fish - MASS</t>
  </si>
  <si>
    <t xml:space="preserve">kg CO2-eq/kg</t>
  </si>
  <si>
    <t xml:space="preserve">Climate change per kg fish - ECONOMIC</t>
  </si>
  <si>
    <t xml:space="preserve">Climate change per kg seaweed - ECONOMIC</t>
  </si>
  <si>
    <t xml:space="preserve">Climate change per kg mussels - ECONOMIC</t>
  </si>
  <si>
    <t xml:space="preserve">Marine eutrophication per kg fish - ECONOMIC</t>
  </si>
  <si>
    <t xml:space="preserve">kg N-eq/kg</t>
  </si>
  <si>
    <t xml:space="preserve">Energy demand per kg fish - ECONOMIC</t>
  </si>
  <si>
    <t xml:space="preserve">MJ/kg</t>
  </si>
  <si>
    <t xml:space="preserve">Same farm and emissions, but the fish footprint depends on the allocation choice (rows 21 vs 22). Report it transparently.</t>
  </si>
  <si>
    <t xml:space="preserve">KPI framework - environment, circularity, economy</t>
  </si>
  <si>
    <t xml:space="preserve">ID</t>
  </si>
  <si>
    <t xml:space="preserve">Dimension</t>
  </si>
  <si>
    <t xml:space="preserve">KPI</t>
  </si>
  <si>
    <t xml:space="preserve">Formula</t>
  </si>
  <si>
    <t xml:space="preserve">Better if</t>
  </si>
  <si>
    <t xml:space="preserve">Target</t>
  </si>
  <si>
    <t xml:space="preserve">Met A</t>
  </si>
  <si>
    <t xml:space="preserve">Met C</t>
  </si>
  <si>
    <t xml:space="preserve">E1</t>
  </si>
  <si>
    <t xml:space="preserve">Environment (LCA)</t>
  </si>
  <si>
    <t xml:space="preserve">Carbon footprint of fish</t>
  </si>
  <si>
    <t xml:space="preserve">Farm climate x economic share fish / kg fish</t>
  </si>
  <si>
    <t xml:space="preserve">lower</t>
  </si>
  <si>
    <t xml:space="preserve">E2</t>
  </si>
  <si>
    <t xml:space="preserve">Marine eutrophication of fish</t>
  </si>
  <si>
    <t xml:space="preserve">Farm eutrophication x economic share fish / kg fish</t>
  </si>
  <si>
    <t xml:space="preserve">E3</t>
  </si>
  <si>
    <t xml:space="preserve">Energy demand of fish</t>
  </si>
  <si>
    <t xml:space="preserve">Farm energy x economic share fish / kg fish</t>
  </si>
  <si>
    <t xml:space="preserve">E4</t>
  </si>
  <si>
    <t xml:space="preserve">Feed share of climate impact (hotspot)</t>
  </si>
  <si>
    <t xml:space="preserve">Climate from feed / total climate</t>
  </si>
  <si>
    <t xml:space="preserve">C1</t>
  </si>
  <si>
    <t xml:space="preserve">Circularity</t>
  </si>
  <si>
    <t xml:space="preserve">Nitrogen recovery rate</t>
  </si>
  <si>
    <t xml:space="preserve">N in seaweed + mussels / N released by fish</t>
  </si>
  <si>
    <t xml:space="preserve">higher</t>
  </si>
  <si>
    <t xml:space="preserve">C2</t>
  </si>
  <si>
    <t xml:space="preserve">Phosphorus recovery rate</t>
  </si>
  <si>
    <t xml:space="preserve">P in seaweed + mussels / P released by fish</t>
  </si>
  <si>
    <t xml:space="preserve">C3</t>
  </si>
  <si>
    <t xml:space="preserve">Nitrogen use efficiency</t>
  </si>
  <si>
    <t xml:space="preserve">N in all products / N in feed</t>
  </si>
  <si>
    <t xml:space="preserve">C4</t>
  </si>
  <si>
    <t xml:space="preserve">Feed conversion ratio</t>
  </si>
  <si>
    <t xml:space="preserve">kg feed / kg fish</t>
  </si>
  <si>
    <t xml:space="preserve">C6</t>
  </si>
  <si>
    <t xml:space="preserve">By-product valorisation rate</t>
  </si>
  <si>
    <t xml:space="preserve">(seaweed residues collected + shells valorised) / (residues generated + shells)</t>
  </si>
  <si>
    <t xml:space="preserve">C5</t>
  </si>
  <si>
    <t xml:space="preserve">Share of non-fed biomass</t>
  </si>
  <si>
    <t xml:space="preserve">(seaweed + mussels) / total harvest</t>
  </si>
  <si>
    <t xml:space="preserve">B1</t>
  </si>
  <si>
    <t xml:space="preserve">Economy</t>
  </si>
  <si>
    <t xml:space="preserve">Eco-efficiency</t>
  </si>
  <si>
    <t xml:space="preserve">Revenue / t CO2-eq</t>
  </si>
  <si>
    <t xml:space="preserve">EUR/t CO2-eq</t>
  </si>
  <si>
    <t xml:space="preserve">B2</t>
  </si>
  <si>
    <t xml:space="preserve">Revenue share of extractive species</t>
  </si>
  <si>
    <t xml:space="preserve">(revenue seaweed + mussels) / total revenue</t>
  </si>
  <si>
    <t xml:space="preserve">Targets met</t>
  </si>
  <si>
    <t xml:space="preserve">Green = target met, red = not met. Targets (yellow) would be agreed with the company in a workshop.</t>
  </si>
  <si>
    <t xml:space="preserve">Read the dimensions together: circularity KPIs show whether the loop works; LCA KPIs show whether it really lowers impact.</t>
  </si>
  <si>
    <t xml:space="preserve">Check the Results tab: total farm emissions rise from A to C even when per-kg values improve; waste valorisation improves circularity KPIs but changes climate results only slightly.</t>
  </si>
  <si>
    <t xml:space="preserve">Results summary</t>
  </si>
  <si>
    <t xml:space="preserve">Indicator</t>
  </si>
  <si>
    <t xml:space="preserve">Change A -&gt; C</t>
  </si>
  <si>
    <t xml:space="preserve">Farm total climate change</t>
  </si>
  <si>
    <t xml:space="preserve">kg CO2-eq/yr</t>
  </si>
  <si>
    <t xml:space="preserve">Farm total marine eutrophication</t>
  </si>
  <si>
    <t xml:space="preserve">kg N-eq/yr</t>
  </si>
  <si>
    <t xml:space="preserve">Farm total energy demand</t>
  </si>
  <si>
    <t xml:space="preserve">GJ/yr</t>
  </si>
  <si>
    <t xml:space="preserve">t/yr</t>
  </si>
  <si>
    <t xml:space="preserve">Climate change per kg fish (economic)</t>
  </si>
  <si>
    <t xml:space="preserve">Climate change per kg fish (mass)</t>
  </si>
  <si>
    <t xml:space="preserve">Marine eutrophication per kg fish</t>
  </si>
  <si>
    <t xml:space="preserve">kg N/yr</t>
  </si>
  <si>
    <t xml:space="preserve">KPI targets met</t>
  </si>
  <si>
    <t xml:space="preserve">of 12</t>
  </si>
  <si>
    <t xml:space="preserve">Key messages</t>
  </si>
  <si>
    <t xml:space="preserve">1. Feed dominates climate change in all scenarios (see LCIA) - the biggest lever is feed composition and FCR.</t>
  </si>
  <si>
    <t xml:space="preserve">2. IMTA lowers N to the sea and eutrophication per kg fish: seaweed and mussels recover part of the fish's nutrients.</t>
  </si>
  <si>
    <t xml:space="preserve">3. Total farm emissions rise from A to C (boats, ropes, electricity, transport) while per-kg values fall: absolute vs relative trade-off.</t>
  </si>
  <si>
    <t xml:space="preserve">5. Waste valorisation in C: collecting seaweed residues raises N recovery and shells replace limestone - circularity KPIs improve clearly; its climate effect is small (+460 / -400 kg CO2-eq)</t>
  </si>
  <si>
    <t xml:space="preserve">4. The fish footprint changes with the allocation method (economic vs mass): a methodological choice to report transparently.</t>
  </si>
  <si>
    <t xml:space="preserve">Compare with your openLCA result (scenario B, 1 kg sea bream, economic allocation)</t>
  </si>
  <si>
    <t xml:space="preserve">This workbook (B)</t>
  </si>
  <si>
    <t xml:space="preserve">Your openLCA (B)</t>
  </si>
  <si>
    <t xml:space="preserve">Difference</t>
  </si>
  <si>
    <t xml:space="preserve">Climate change per kg fish</t>
  </si>
  <si>
    <t xml:space="preserve">Expect differences: this workbook uses invented factors; openLCA uses ecoinvent and EF characterisation factors.</t>
  </si>
  <si>
    <t xml:space="preserve">Real openLCA results - scenario B (ecoinvent 3.7 cut-off, EF 3.1, economic allocation)</t>
  </si>
  <si>
    <t xml:space="preserve">Exported from openLCA on 2026-10-23. Reference: 40,000 kg sea bream (1 year). Unlike the other tabs, these are database results.</t>
  </si>
  <si>
    <t xml:space="preserve">Impact assessment results</t>
  </si>
  <si>
    <t xml:space="preserve">Impact category</t>
  </si>
  <si>
    <t xml:space="preserve">Farm total (40 t fish/yr)</t>
  </si>
  <si>
    <t xml:space="preserve">Per kg sea bream</t>
  </si>
  <si>
    <t xml:space="preserve">kg CO2 eq</t>
  </si>
  <si>
    <t xml:space="preserve">Climate change (fossil)</t>
  </si>
  <si>
    <t xml:space="preserve">Climate change (land use)</t>
  </si>
  <si>
    <t xml:space="preserve">Mostly deforestation for soybean (BR)</t>
  </si>
  <si>
    <t xml:space="preserve">Climate change (biogenic)</t>
  </si>
  <si>
    <t xml:space="preserve">Eutrophication marine</t>
  </si>
  <si>
    <t xml:space="preserve">kg N eq</t>
  </si>
  <si>
    <t xml:space="preserve">Farm N emission not characterised - see check below</t>
  </si>
  <si>
    <t xml:space="preserve">Eutrophication freshwater</t>
  </si>
  <si>
    <t xml:space="preserve">kg P eq</t>
  </si>
  <si>
    <t xml:space="preserve">Eutrophication terrestrial</t>
  </si>
  <si>
    <t xml:space="preserve">mol N eq</t>
  </si>
  <si>
    <t xml:space="preserve">Acidification</t>
  </si>
  <si>
    <t xml:space="preserve">mol H+ eq</t>
  </si>
  <si>
    <t xml:space="preserve">Particulate matter</t>
  </si>
  <si>
    <t xml:space="preserve">disease incidence</t>
  </si>
  <si>
    <t xml:space="preserve">Land use</t>
  </si>
  <si>
    <t xml:space="preserve">dimensionless (pt)</t>
  </si>
  <si>
    <t xml:space="preserve">Water use</t>
  </si>
  <si>
    <t xml:space="preserve">m3 world eq</t>
  </si>
  <si>
    <t xml:space="preserve">Resource use fossils</t>
  </si>
  <si>
    <t xml:space="preserve">MJ (net calorific)</t>
  </si>
  <si>
    <t xml:space="preserve">Resource use minerals and metals</t>
  </si>
  <si>
    <t xml:space="preserve">kg Sb eq</t>
  </si>
  <si>
    <t xml:space="preserve">Ozone depletion</t>
  </si>
  <si>
    <t xml:space="preserve">kg CFC11 eq</t>
  </si>
  <si>
    <t xml:space="preserve">Photochemical ozone formation (human health)</t>
  </si>
  <si>
    <t xml:space="preserve">kg NMVOC eq</t>
  </si>
  <si>
    <t xml:space="preserve">Ionising radiation (human health)</t>
  </si>
  <si>
    <t xml:space="preserve">kBq U235 eq</t>
  </si>
  <si>
    <t xml:space="preserve">Ecotoxicity freshwater</t>
  </si>
  <si>
    <t xml:space="preserve">CTUe</t>
  </si>
  <si>
    <t xml:space="preserve">Human toxicity cancer</t>
  </si>
  <si>
    <t xml:space="preserve">CTUh</t>
  </si>
  <si>
    <t xml:space="preserve">Human toxicity non-cancer</t>
  </si>
  <si>
    <t xml:space="preserve">Contribution analysis: Climate change (grouped by type of process)</t>
  </si>
  <si>
    <t xml:space="preserve">Contributor group</t>
  </si>
  <si>
    <t xml:space="preserve">Farm total</t>
  </si>
  <si>
    <t xml:space="preserve">Share</t>
  </si>
  <si>
    <t xml:space="preserve">Per kg fish</t>
  </si>
  <si>
    <t xml:space="preserve">Land use change (crops for feed)</t>
  </si>
  <si>
    <t xml:space="preserve">Fuels and heat</t>
  </si>
  <si>
    <t xml:space="preserve">Transport</t>
  </si>
  <si>
    <t xml:space="preserve">Crop farming (feed ingredients)</t>
  </si>
  <si>
    <t xml:space="preserve">Electricity generation</t>
  </si>
  <si>
    <t xml:space="preserve">IMTA farm (direct: boat CO2, N, P)</t>
  </si>
  <si>
    <t xml:space="preserve">Other background processes</t>
  </si>
  <si>
    <t xml:space="preserve">Fishing and fishmeal processing</t>
  </si>
  <si>
    <t xml:space="preserve">Plastics and chemicals</t>
  </si>
  <si>
    <t xml:space="preserve">Contribution analysis: Eutrophication marine (grouped by type of process)</t>
  </si>
  <si>
    <t xml:space="preserve">Comparison</t>
  </si>
  <si>
    <t xml:space="preserve">openLCA (real, IMTA without valorisation)</t>
  </si>
  <si>
    <t xml:space="preserve">Illustrative workbook (scenario C)</t>
  </si>
  <si>
    <t xml:space="preserve">Literature</t>
  </si>
  <si>
    <t xml:space="preserve">Climate change per kg sea bream</t>
  </si>
  <si>
    <t xml:space="preserve">2.27 (gilthead sea bream, Greece, Kallitsis &amp; Avramidis 2025)</t>
  </si>
  <si>
    <t xml:space="preserve">Marine eutrophication per kg sea bream</t>
  </si>
  <si>
    <t xml:space="preserve">not compared - openLCA value incomplete</t>
  </si>
  <si>
    <t xml:space="preserve">Checks and lessons</t>
  </si>
  <si>
    <t xml:space="preserve">1. Climate: 1.83 kg CO2-eq per kg sea bream - close to the 2.27 reported for Greek gilthead sea bream.</t>
  </si>
  <si>
    <t xml:space="preserve">2. Land use change (deforestation for soybean, BR) is about 29% of climate change - the illustrative workbook ignored this. Feed sourcing matters.</t>
  </si>
  <si>
    <t xml:space="preserve">3. Marine eutrophication: the farm's own N emission (2,500 kg) adds nothing in openLCA, so the chosen 'Nitrogen, ocean' flow has no factor in this EF 3.1 version.</t>
  </si>
  <si>
    <t xml:space="preserve">   Fix: open the method -&gt; Eutrophication marine -&gt; characterisation factors, search 'Nitrogen' and use the compartment that has a factor (e.g. surface water or unspecified).</t>
  </si>
  <si>
    <t xml:space="preserve">   Expected effect: about 2,500 x 0.671 = 1,678 kg N-eq more, i.e. the farm becomes the eutrophication hotspot (as in the literature).</t>
  </si>
  <si>
    <t xml:space="preserve">4. Auto-link chose some unexpected providers: Swiss rapeseed (CH market) and a small refrigerated lorry. Set providers explicitly for a final study.</t>
  </si>
  <si>
    <t xml:space="preserve">5. The farm process itself contributes 7,122 kg CO2-eq = boat diesel combustion (10,618 kg CO2) x 0.671 economic allocation.</t>
  </si>
  <si>
    <t xml:space="preserve">Literature to check the illustrative values against</t>
  </si>
  <si>
    <t xml:space="preserve">Reference</t>
  </si>
  <si>
    <t xml:space="preserve">What it supports</t>
  </si>
  <si>
    <t xml:space="preserve">Link</t>
  </si>
  <si>
    <t xml:space="preserve">Hala, Chougule et al. (2024). Life cycle assessment of integrated multi-trophic aquaculture: a review on methodology and challenges. Aquaculture 590, 741035.</t>
  </si>
  <si>
    <t xml:space="preserve">Functional unit and multi-product challenges in IMTA; feeds, effluents and energy as main contributors.</t>
  </si>
  <si>
    <t xml:space="preserve">https://aquahoy.com/life-cycle-assessment-integrated-multi-trophic-aquaculture/</t>
  </si>
  <si>
    <t xml:space="preserve">Garcia Garcia et al. (2016). Life Cycle Assessment of Gilthead Seabream Production in Offshore Fish Farms. Sustainability 8(12), 1228.</t>
  </si>
  <si>
    <t xml:space="preserve">FCR of about 2 (1.7 tested); feed and vessel fuel as hotspots.</t>
  </si>
  <si>
    <t xml:space="preserve">https://www.mdpi.com/2071-1050/8/12/1228</t>
  </si>
  <si>
    <t xml:space="preserve">Nederlof et al. (2021), Reviews in Aquaculture; summary by Global Seafood Alliance (2022).</t>
  </si>
  <si>
    <t xml:space="preserve">Nutrient retention in fish and recovery by extractive species in open vs closed IMTA.</t>
  </si>
  <si>
    <t xml:space="preserve">https://www.globalseafood.org/advocate/nutrient-retention-efficiencies-in-integrated-multi-trophic-aquaculture/</t>
  </si>
  <si>
    <t xml:space="preserve">Kallitsis, E. &amp; Avramidis, P. (2025). Life cycle assessment of aquaculture production in Greece. Cleaner Environmental Systems.</t>
  </si>
  <si>
    <t xml:space="preserve">Gilthead sea bream 2.27 kg CO2-eq/kg (cradle-to-gate); feed up to 79% of GHG; fry production energy-intensive.</t>
  </si>
  <si>
    <t xml:space="preserve">https://www.mispeces.com/en/news/Greek-Aquaculture-Life-Cycle-Assessment-Highlights-Key-Areas-for-Improvement-and-Opportunities/</t>
  </si>
  <si>
    <t xml:space="preserve">Zoli, M. et al. (2023). Quantification and characterization of the environmental impact of sea bream and sea bass production in Italy. Cleaner Environmental Systems 9, 100118.</t>
  </si>
  <si>
    <t xml:space="preserve">Feed at least 60% of most impact categories; marine eutrophication driven by nutrient emissions.</t>
  </si>
  <si>
    <t xml:space="preserve">https://doaj.org/article/0c047700b22741bdb3ae6e5e47b07298</t>
  </si>
  <si>
    <t xml:space="preserve">Azizi, G. et al. (2020). Growth weight and reproductive cycle in the mussel (Mytilus galloprovincialis) from Cala Iris, Morocco. EasyChair Preprint 2857.</t>
  </si>
  <si>
    <t xml:space="preserve">Rough check of shell share of mussel weight (about one third; data partly inconsistent).</t>
  </si>
  <si>
    <t xml:space="preserve">https://easychair.org/publications/preprint/P5vQ/open</t>
  </si>
  <si>
    <t xml:space="preserve">IMPORTANT: most activity data, nutrient contents, prices and all factors in this workbook are illustrative assumptions. Only the values marked 'Checked vs' were compared with the literature above, and several differ from it. Real impact results are in the 'openLCA results' tab.</t>
  </si>
</sst>
</file>

<file path=xl/styles.xml><?xml version="1.0" encoding="utf-8"?>
<styleSheet xmlns="http://schemas.openxmlformats.org/spreadsheetml/2006/main">
  <numFmts count="19">
    <numFmt numFmtId="164" formatCode="General"/>
    <numFmt numFmtId="165" formatCode="#,##0"/>
    <numFmt numFmtId="166" formatCode="0.0"/>
    <numFmt numFmtId="167" formatCode="0%"/>
    <numFmt numFmtId="168" formatCode="0.0%"/>
    <numFmt numFmtId="169" formatCode="0.00%"/>
    <numFmt numFmtId="170" formatCode="0.00"/>
    <numFmt numFmtId="171" formatCode="#,##0;\-#,##0;0"/>
    <numFmt numFmtId="172" formatCode="0.0000"/>
    <numFmt numFmtId="173" formatCode="#,##0.0;\-#,##0.0;0"/>
    <numFmt numFmtId="174" formatCode="0.0%;\-0.0%;0%"/>
    <numFmt numFmtId="175" formatCode="0.00;\-0.00;\-"/>
    <numFmt numFmtId="176" formatCode="0.000"/>
    <numFmt numFmtId="177" formatCode="\✓;\✗;\✗"/>
    <numFmt numFmtId="178" formatCode="\+0%;\-0%;0%"/>
    <numFmt numFmtId="179" formatCode="\+0.0%;\-0.0%"/>
    <numFmt numFmtId="180" formatCode="@"/>
    <numFmt numFmtId="181" formatCode="\+0%;\-0%"/>
    <numFmt numFmtId="182" formatCode="#,##0.00"/>
  </numFmts>
  <fonts count="1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666666"/>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
      <sz val="11"/>
      <color theme="1"/>
      <name val="Arial"/>
      <family val="0"/>
      <charset val="1"/>
    </font>
    <font>
      <b val="true"/>
      <sz val="18"/>
      <color rgb="FF000000"/>
      <name val="Calibri"/>
      <family val="2"/>
    </font>
    <font>
      <sz val="10"/>
      <color rgb="FF000000"/>
      <name val="Calibri"/>
      <family val="2"/>
    </font>
    <font>
      <b val="true"/>
      <sz val="10"/>
      <color rgb="FF000000"/>
      <name val="Calibri"/>
      <family val="2"/>
    </font>
    <font>
      <sz val="11"/>
      <color rgb="FF008000"/>
      <name val="Arial"/>
      <family val="0"/>
      <charset val="1"/>
    </font>
    <font>
      <sz val="11"/>
      <color rgb="FFC00000"/>
      <name val="Arial"/>
      <family val="0"/>
      <charset val="1"/>
    </font>
    <font>
      <sz val="11"/>
      <color rgb="FF0000FF"/>
      <name val="Arial"/>
      <family val="0"/>
      <charset val="1"/>
    </font>
    <font>
      <b val="true"/>
      <sz val="11"/>
      <color rgb="FFC0000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DDEBF7"/>
        <bgColor rgb="FFD9D9D9"/>
      </patternFill>
    </fill>
    <fill>
      <patternFill patternType="solid">
        <fgColor rgb="FFFFF2CC"/>
        <bgColor rgb="FFFFEB9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9" fontId="9" fillId="4" borderId="1"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72" fontId="9" fillId="4" borderId="1" xfId="0" applyFont="true" applyBorder="true" applyAlignment="false" applyProtection="false">
      <alignment horizontal="general" vertical="bottom" textRotation="0" wrapText="false" indent="0" shrinkToFit="false"/>
      <protection locked="true" hidden="false"/>
    </xf>
    <xf numFmtId="166" fontId="9" fillId="4" borderId="1" xfId="0" applyFont="true" applyBorder="tru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75" fontId="10" fillId="0" borderId="1" xfId="0" applyFont="true" applyBorder="true" applyAlignment="false" applyProtection="false">
      <alignment horizontal="general" vertical="bottom" textRotation="0" wrapText="false" indent="0" shrinkToFit="false"/>
      <protection locked="true" hidden="false"/>
    </xf>
    <xf numFmtId="176"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77" fontId="10" fillId="0" borderId="1" xfId="0" applyFont="true" applyBorder="true" applyAlignment="true" applyProtection="false">
      <alignment horizontal="center" vertical="bottom" textRotation="0" wrapText="false" indent="0" shrinkToFit="false"/>
      <protection locked="true" hidden="false"/>
    </xf>
    <xf numFmtId="176" fontId="9" fillId="4" borderId="1" xfId="0" applyFont="true" applyBorder="true" applyAlignment="false" applyProtection="false">
      <alignment horizontal="general" vertical="bottom" textRotation="0" wrapText="false" indent="0" shrinkToFit="false"/>
      <protection locked="true" hidden="false"/>
    </xf>
    <xf numFmtId="178" fontId="10" fillId="0" borderId="0" xfId="0" applyFont="true" applyBorder="false" applyAlignment="false" applyProtection="false">
      <alignment horizontal="general" vertical="bottom" textRotation="0" wrapText="false" indent="0" shrinkToFit="false"/>
      <protection locked="true" hidden="false"/>
    </xf>
    <xf numFmtId="179" fontId="10" fillId="0" borderId="0" xfId="0" applyFont="true" applyBorder="false" applyAlignment="false" applyProtection="false">
      <alignment horizontal="general" vertical="bottom" textRotation="0" wrapText="false" indent="0" shrinkToFit="false"/>
      <protection locked="true" hidden="false"/>
    </xf>
    <xf numFmtId="180" fontId="10" fillId="0" borderId="1" xfId="0" applyFont="true" applyBorder="true" applyAlignment="false" applyProtection="false">
      <alignment horizontal="general" vertical="bottom" textRotation="0" wrapText="false" indent="0" shrinkToFit="false"/>
      <protection locked="true" hidden="false"/>
    </xf>
    <xf numFmtId="176" fontId="10" fillId="0" borderId="0" xfId="0" applyFont="true" applyBorder="false" applyAlignment="false" applyProtection="false">
      <alignment horizontal="general" vertical="bottom" textRotation="0" wrapText="false" indent="0" shrinkToFit="false"/>
      <protection locked="true" hidden="false"/>
    </xf>
    <xf numFmtId="181" fontId="10" fillId="0" borderId="0" xfId="0" applyFont="true" applyBorder="false" applyAlignment="false" applyProtection="false">
      <alignment horizontal="general" vertical="bottom" textRotation="0" wrapText="false" indent="0" shrinkToFit="false"/>
      <protection locked="true" hidden="false"/>
    </xf>
    <xf numFmtId="182" fontId="14"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FCE"/>
        </patternFill>
      </fill>
    </dxf>
    <dxf>
      <fill>
        <patternFill>
          <bgColor rgb="FFFFC7CE"/>
        </patternFill>
      </fill>
    </dxf>
    <dxf>
      <fill>
        <patternFill>
          <bgColor rgb="FFFFEB9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666666"/>
      <rgbColor rgb="FF800080"/>
      <rgbColor rgb="FF4F81BD"/>
      <rgbColor rgb="FFBFBFBF"/>
      <rgbColor rgb="FF878787"/>
      <rgbColor rgb="FF93A9CE"/>
      <rgbColor rgb="FFAB4744"/>
      <rgbColor rgb="FFFFF2CC"/>
      <rgbColor rgb="FFDDEBF7"/>
      <rgbColor rgb="FF660066"/>
      <rgbColor rgb="FFDC853E"/>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B8CD97"/>
      <rgbColor rgb="FFD09493"/>
      <rgbColor rgb="FF8064A2"/>
      <rgbColor rgb="FFFFC7CE"/>
      <rgbColor rgb="FF4672A8"/>
      <rgbColor rgb="FF4BACC6"/>
      <rgbColor rgb="FF9BBB59"/>
      <rgbColor rgb="FFFFCC00"/>
      <rgbColor rgb="FFF79646"/>
      <rgbColor rgb="FFFF6600"/>
      <rgbColor rgb="FF725990"/>
      <rgbColor rgb="FF8AA64F"/>
      <rgbColor rgb="FF003366"/>
      <rgbColor rgb="FF4299B0"/>
      <rgbColor rgb="FF003300"/>
      <rgbColor rgb="FF333300"/>
      <rgbColor rgb="FF993300"/>
      <rgbColor rgb="FFC0504D"/>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Climate change by flow, scenario B (kg CO2-eq/yr)</a:t>
            </a:r>
          </a:p>
        </c:rich>
      </c:tx>
      <c:overlay val="0"/>
      <c:spPr>
        <a:noFill/>
        <a:ln w="0">
          <a:noFill/>
        </a:ln>
      </c:spPr>
    </c:title>
    <c:autoTitleDeleted val="0"/>
    <c:plotArea>
      <c:barChart>
        <c:barDir val="bar"/>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LCIA!$A$6:$A$17</c:f>
              <c:strCache>
                <c:ptCount val="12"/>
                <c:pt idx="0">
                  <c:v>Fishmeal, 63-65% protein</c:v>
                </c:pt>
                <c:pt idx="1">
                  <c:v>Fish oil, from anchovy</c:v>
                </c:pt>
                <c:pt idx="2">
                  <c:v>Soybean meal</c:v>
                </c:pt>
                <c:pt idx="3">
                  <c:v>Wheat grain, feed</c:v>
                </c:pt>
                <c:pt idx="4">
                  <c:v>Rape oil, crude</c:v>
                </c:pt>
                <c:pt idx="5">
                  <c:v>Electricity, low voltage</c:v>
                </c:pt>
                <c:pt idx="6">
                  <c:v>Diesel (production)</c:v>
                </c:pt>
                <c:pt idx="7">
                  <c:v>Polypropylene, granulate</c:v>
                </c:pt>
                <c:pt idx="8">
                  <c:v>Transport, freight, lorry</c:v>
                </c:pt>
                <c:pt idx="9">
                  <c:v>Nitrogen, to ocean</c:v>
                </c:pt>
                <c:pt idx="10">
                  <c:v>Phosphorus, to ocean</c:v>
                </c:pt>
                <c:pt idx="11">
                  <c:v>CO2 from diesel combustion</c:v>
                </c:pt>
              </c:strCache>
            </c:strRef>
          </c:cat>
          <c:val>
            <c:numRef>
              <c:f>LCIA!$D$6:$D$17</c:f>
              <c:numCache>
                <c:formatCode>#,##0</c:formatCode>
                <c:ptCount val="12"/>
                <c:pt idx="0">
                  <c:v>22500</c:v>
                </c:pt>
                <c:pt idx="1">
                  <c:v>10800</c:v>
                </c:pt>
                <c:pt idx="2">
                  <c:v>27000</c:v>
                </c:pt>
                <c:pt idx="3">
                  <c:v>9000</c:v>
                </c:pt>
                <c:pt idx="4">
                  <c:v>15000</c:v>
                </c:pt>
                <c:pt idx="5">
                  <c:v>24000</c:v>
                </c:pt>
                <c:pt idx="6">
                  <c:v>2016</c:v>
                </c:pt>
                <c:pt idx="7">
                  <c:v>1600</c:v>
                </c:pt>
                <c:pt idx="8">
                  <c:v>4140</c:v>
                </c:pt>
                <c:pt idx="9">
                  <c:v>0</c:v>
                </c:pt>
                <c:pt idx="10">
                  <c:v>0</c:v>
                </c:pt>
                <c:pt idx="11">
                  <c:v>10617.6</c:v>
                </c:pt>
              </c:numCache>
            </c:numRef>
          </c:val>
        </c:ser>
        <c:gapWidth val="150"/>
        <c:overlap val="0"/>
        <c:axId val="36787450"/>
        <c:axId val="96889149"/>
      </c:barChart>
      <c:catAx>
        <c:axId val="3678745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889149"/>
        <c:crosses val="autoZero"/>
        <c:auto val="1"/>
        <c:lblAlgn val="ctr"/>
        <c:lblOffset val="100"/>
        <c:noMultiLvlLbl val="0"/>
      </c:catAx>
      <c:valAx>
        <c:axId val="96889149"/>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78745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Climate change by contributor (kg CO2-eq/yr)</a:t>
            </a:r>
          </a:p>
        </c:rich>
      </c:tx>
      <c:overlay val="0"/>
      <c:spPr>
        <a:noFill/>
        <a:ln w="0">
          <a:noFill/>
        </a:ln>
      </c:spPr>
    </c:title>
    <c:autoTitleDeleted val="0"/>
    <c:plotArea>
      <c:barChart>
        <c:barDir val="col"/>
        <c:grouping val="stacked"/>
        <c:varyColors val="0"/>
        <c:ser>
          <c:idx val="0"/>
          <c:order val="0"/>
          <c:tx>
            <c:strRef>
              <c:f>"Feed (5 ingredients)"</c:f>
              <c:strCache>
                <c:ptCount val="1"/>
                <c:pt idx="0">
                  <c:v>Feed (5 ingredients)</c:v>
                </c:pt>
              </c:strCache>
            </c:strRef>
          </c:tx>
          <c:spPr>
            <a:solidFill>
              <a:srgbClr val="4672a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analysis'!$B$5:$C$5</c:f>
              <c:multiLvlStrCache>
                <c:ptCount val="1"/>
                <c:lvl>
                  <c:pt idx="0">
                    <c:v>C: IMTA + waste valorisation</c:v>
                  </c:pt>
                </c:lvl>
                <c:lvl>
                  <c:pt idx="0">
                    <c:v>A: Fish monoculture</c:v>
                  </c:pt>
                </c:lvl>
              </c:multiLvlStrCache>
            </c:multiLvlStrRef>
          </c:cat>
          <c:val>
            <c:numRef>
              <c:f>'Contribution analysis'!$B$6:$C$6</c:f>
              <c:numCache>
                <c:formatCode>#,##0.0;\-#,##0.0;0</c:formatCode>
                <c:ptCount val="2"/>
                <c:pt idx="0">
                  <c:v>84300</c:v>
                </c:pt>
                <c:pt idx="1">
                  <c:v>84300</c:v>
                </c:pt>
              </c:numCache>
            </c:numRef>
          </c:val>
        </c:ser>
        <c:ser>
          <c:idx val="1"/>
          <c:order val="1"/>
          <c:tx>
            <c:strRef>
              <c:f>"Electricity"</c:f>
              <c:strCache>
                <c:ptCount val="1"/>
                <c:pt idx="0">
                  <c:v>Electricity</c:v>
                </c:pt>
              </c:strCache>
            </c:strRef>
          </c:tx>
          <c:spPr>
            <a:solidFill>
              <a:srgbClr val="ab474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analysis'!$B$5:$C$5</c:f>
              <c:multiLvlStrCache>
                <c:ptCount val="1"/>
                <c:lvl>
                  <c:pt idx="0">
                    <c:v>C: IMTA + waste valorisation</c:v>
                  </c:pt>
                </c:lvl>
                <c:lvl>
                  <c:pt idx="0">
                    <c:v>A: Fish monoculture</c:v>
                  </c:pt>
                </c:lvl>
              </c:multiLvlStrCache>
            </c:multiLvlStrRef>
          </c:cat>
          <c:val>
            <c:numRef>
              <c:f>'Contribution analysis'!$B$7:$C$7</c:f>
              <c:numCache>
                <c:formatCode>#,##0.0;\-#,##0.0;0</c:formatCode>
                <c:ptCount val="2"/>
                <c:pt idx="0">
                  <c:v>20000</c:v>
                </c:pt>
                <c:pt idx="1">
                  <c:v>24000</c:v>
                </c:pt>
              </c:numCache>
            </c:numRef>
          </c:val>
        </c:ser>
        <c:ser>
          <c:idx val="2"/>
          <c:order val="2"/>
          <c:tx>
            <c:strRef>
              <c:f>"Boat fuel (diesel + combustion)"</c:f>
              <c:strCache>
                <c:ptCount val="1"/>
                <c:pt idx="0">
                  <c:v>Boat fuel (diesel + combustion)</c:v>
                </c:pt>
              </c:strCache>
            </c:strRef>
          </c:tx>
          <c:spPr>
            <a:solidFill>
              <a:srgbClr val="8aa64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analysis'!$B$5:$C$5</c:f>
              <c:multiLvlStrCache>
                <c:ptCount val="1"/>
                <c:lvl>
                  <c:pt idx="0">
                    <c:v>C: IMTA + waste valorisation</c:v>
                  </c:pt>
                </c:lvl>
                <c:lvl>
                  <c:pt idx="0">
                    <c:v>A: Fish monoculture</c:v>
                  </c:pt>
                </c:lvl>
              </c:multiLvlStrCache>
            </c:multiLvlStrRef>
          </c:cat>
          <c:val>
            <c:numRef>
              <c:f>'Contribution analysis'!$B$8:$C$8</c:f>
              <c:numCache>
                <c:formatCode>#,##0.0;\-#,##0.0;0</c:formatCode>
                <c:ptCount val="2"/>
                <c:pt idx="0">
                  <c:v>9475.2</c:v>
                </c:pt>
                <c:pt idx="1">
                  <c:v>12633.6</c:v>
                </c:pt>
              </c:numCache>
            </c:numRef>
          </c:val>
        </c:ser>
        <c:ser>
          <c:idx val="3"/>
          <c:order val="3"/>
          <c:tx>
            <c:strRef>
              <c:f>"Ropes and nets (PP)"</c:f>
              <c:strCache>
                <c:ptCount val="1"/>
                <c:pt idx="0">
                  <c:v>Ropes and nets (PP)</c:v>
                </c:pt>
              </c:strCache>
            </c:strRef>
          </c:tx>
          <c:spPr>
            <a:solidFill>
              <a:srgbClr val="72599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analysis'!$B$5:$C$5</c:f>
              <c:multiLvlStrCache>
                <c:ptCount val="1"/>
                <c:lvl>
                  <c:pt idx="0">
                    <c:v>C: IMTA + waste valorisation</c:v>
                  </c:pt>
                </c:lvl>
                <c:lvl>
                  <c:pt idx="0">
                    <c:v>A: Fish monoculture</c:v>
                  </c:pt>
                </c:lvl>
              </c:multiLvlStrCache>
            </c:multiLvlStrRef>
          </c:cat>
          <c:val>
            <c:numRef>
              <c:f>'Contribution analysis'!$B$9:$C$9</c:f>
              <c:numCache>
                <c:formatCode>#,##0.0;\-#,##0.0;0</c:formatCode>
                <c:ptCount val="2"/>
                <c:pt idx="0">
                  <c:v>600</c:v>
                </c:pt>
                <c:pt idx="1">
                  <c:v>1600</c:v>
                </c:pt>
              </c:numCache>
            </c:numRef>
          </c:val>
        </c:ser>
        <c:ser>
          <c:idx val="4"/>
          <c:order val="4"/>
          <c:tx>
            <c:strRef>
              <c:f>"Transport to market"</c:f>
              <c:strCache>
                <c:ptCount val="1"/>
                <c:pt idx="0">
                  <c:v>Transport to market</c:v>
                </c:pt>
              </c:strCache>
            </c:strRef>
          </c:tx>
          <c:spPr>
            <a:solidFill>
              <a:srgbClr val="4299b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analysis'!$B$5:$C$5</c:f>
              <c:multiLvlStrCache>
                <c:ptCount val="1"/>
                <c:lvl>
                  <c:pt idx="0">
                    <c:v>C: IMTA + waste valorisation</c:v>
                  </c:pt>
                </c:lvl>
                <c:lvl>
                  <c:pt idx="0">
                    <c:v>A: Fish monoculture</c:v>
                  </c:pt>
                </c:lvl>
              </c:multiLvlStrCache>
            </c:multiLvlStrRef>
          </c:cat>
          <c:val>
            <c:numRef>
              <c:f>'Contribution analysis'!$B$10:$C$10</c:f>
              <c:numCache>
                <c:formatCode>#,##0.0;\-#,##0.0;0</c:formatCode>
                <c:ptCount val="2"/>
                <c:pt idx="0">
                  <c:v>1440</c:v>
                </c:pt>
                <c:pt idx="1">
                  <c:v>4140</c:v>
                </c:pt>
              </c:numCache>
            </c:numRef>
          </c:val>
        </c:ser>
        <c:ser>
          <c:idx val="5"/>
          <c:order val="5"/>
          <c:tx>
            <c:strRef>
              <c:f>"Direct N and P emissions"</c:f>
              <c:strCache>
                <c:ptCount val="1"/>
                <c:pt idx="0">
                  <c:v>Direct N and P emissions</c:v>
                </c:pt>
              </c:strCache>
            </c:strRef>
          </c:tx>
          <c:spPr>
            <a:solidFill>
              <a:srgbClr val="dc853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analysis'!$B$5:$C$5</c:f>
              <c:multiLvlStrCache>
                <c:ptCount val="1"/>
                <c:lvl>
                  <c:pt idx="0">
                    <c:v>C: IMTA + waste valorisation</c:v>
                  </c:pt>
                </c:lvl>
                <c:lvl>
                  <c:pt idx="0">
                    <c:v>A: Fish monoculture</c:v>
                  </c:pt>
                </c:lvl>
              </c:multiLvlStrCache>
            </c:multiLvlStrRef>
          </c:cat>
          <c:val>
            <c:numRef>
              <c:f>'Contribution analysis'!$B$11:$C$11</c:f>
              <c:numCache>
                <c:formatCode>#,##0.0;\-#,##0.0;0</c:formatCode>
                <c:ptCount val="2"/>
                <c:pt idx="0">
                  <c:v>0</c:v>
                </c:pt>
                <c:pt idx="1">
                  <c:v>0</c:v>
                </c:pt>
              </c:numCache>
            </c:numRef>
          </c:val>
        </c:ser>
        <c:ser>
          <c:idx val="6"/>
          <c:order val="6"/>
          <c:tx>
            <c:strRef>
              <c:f>"Waste valorisation processes"</c:f>
              <c:strCache>
                <c:ptCount val="1"/>
                <c:pt idx="0">
                  <c:v>Waste valorisation processes</c:v>
                </c:pt>
              </c:strCache>
            </c:strRef>
          </c:tx>
          <c:spPr>
            <a:solidFill>
              <a:srgbClr val="93a9c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analysis'!$B$5:$C$5</c:f>
              <c:multiLvlStrCache>
                <c:ptCount val="1"/>
                <c:lvl>
                  <c:pt idx="0">
                    <c:v>C: IMTA + waste valorisation</c:v>
                  </c:pt>
                </c:lvl>
                <c:lvl>
                  <c:pt idx="0">
                    <c:v>A: Fish monoculture</c:v>
                  </c:pt>
                </c:lvl>
              </c:multiLvlStrCache>
            </c:multiLvlStrRef>
          </c:cat>
          <c:val>
            <c:numRef>
              <c:f>'Contribution analysis'!$B$12:$C$12</c:f>
              <c:numCache>
                <c:formatCode>#,##0.0;\-#,##0.0;0</c:formatCode>
                <c:ptCount val="2"/>
                <c:pt idx="0">
                  <c:v>0</c:v>
                </c:pt>
                <c:pt idx="1">
                  <c:v>460</c:v>
                </c:pt>
              </c:numCache>
            </c:numRef>
          </c:val>
        </c:ser>
        <c:ser>
          <c:idx val="7"/>
          <c:order val="7"/>
          <c:tx>
            <c:strRef>
              <c:f>"Credits: avoided lime and fertiliser"</c:f>
              <c:strCache>
                <c:ptCount val="1"/>
                <c:pt idx="0">
                  <c:v>Credits: avoided lime and fertiliser</c:v>
                </c:pt>
              </c:strCache>
            </c:strRef>
          </c:tx>
          <c:spPr>
            <a:solidFill>
              <a:srgbClr val="d09493"/>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analysis'!$B$5:$C$5</c:f>
              <c:multiLvlStrCache>
                <c:ptCount val="1"/>
                <c:lvl>
                  <c:pt idx="0">
                    <c:v>C: IMTA + waste valorisation</c:v>
                  </c:pt>
                </c:lvl>
                <c:lvl>
                  <c:pt idx="0">
                    <c:v>A: Fish monoculture</c:v>
                  </c:pt>
                </c:lvl>
              </c:multiLvlStrCache>
            </c:multiLvlStrRef>
          </c:cat>
          <c:val>
            <c:numRef>
              <c:f>'Contribution analysis'!$B$13:$C$13</c:f>
              <c:numCache>
                <c:formatCode>#,##0.0;\-#,##0.0;0</c:formatCode>
                <c:ptCount val="2"/>
                <c:pt idx="0">
                  <c:v>-0</c:v>
                </c:pt>
                <c:pt idx="1">
                  <c:v>-400</c:v>
                </c:pt>
              </c:numCache>
            </c:numRef>
          </c:val>
        </c:ser>
        <c:gapWidth val="150"/>
        <c:overlap val="100"/>
        <c:axId val="65461810"/>
        <c:axId val="22678481"/>
      </c:barChart>
      <c:catAx>
        <c:axId val="6546181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678481"/>
        <c:crosses val="autoZero"/>
        <c:auto val="1"/>
        <c:lblAlgn val="ctr"/>
        <c:lblOffset val="100"/>
        <c:noMultiLvlLbl val="0"/>
      </c:catAx>
      <c:valAx>
        <c:axId val="2267848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kg CO2-eq</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46181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Marine eutrophication by contributor (kg N-eq/yr)</a:t>
            </a:r>
          </a:p>
        </c:rich>
      </c:tx>
      <c:overlay val="0"/>
      <c:spPr>
        <a:noFill/>
        <a:ln w="0">
          <a:noFill/>
        </a:ln>
      </c:spPr>
    </c:title>
    <c:autoTitleDeleted val="0"/>
    <c:plotArea>
      <c:barChart>
        <c:barDir val="col"/>
        <c:grouping val="stacked"/>
        <c:varyColors val="0"/>
        <c:ser>
          <c:idx val="0"/>
          <c:order val="0"/>
          <c:tx>
            <c:strRef>
              <c:f>"Feed (5 ingredients)"</c:f>
              <c:strCache>
                <c:ptCount val="1"/>
                <c:pt idx="0">
                  <c:v>Feed (5 ingredients)</c:v>
                </c:pt>
              </c:strCache>
            </c:strRef>
          </c:tx>
          <c:spPr>
            <a:solidFill>
              <a:srgbClr val="4672a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analysis'!$B$18:$C$18</c:f>
              <c:multiLvlStrCache>
                <c:ptCount val="1"/>
                <c:lvl>
                  <c:pt idx="0">
                    <c:v>C: IMTA + waste valorisation</c:v>
                  </c:pt>
                </c:lvl>
                <c:lvl>
                  <c:pt idx="0">
                    <c:v>A: Fish monoculture</c:v>
                  </c:pt>
                </c:lvl>
              </c:multiLvlStrCache>
            </c:multiLvlStrRef>
          </c:cat>
          <c:val>
            <c:numRef>
              <c:f>'Contribution analysis'!$B$19:$C$19</c:f>
              <c:numCache>
                <c:formatCode>#,##0.0;\-#,##0.0;0</c:formatCode>
                <c:ptCount val="2"/>
                <c:pt idx="0">
                  <c:v>1830</c:v>
                </c:pt>
                <c:pt idx="1">
                  <c:v>1830</c:v>
                </c:pt>
              </c:numCache>
            </c:numRef>
          </c:val>
        </c:ser>
        <c:ser>
          <c:idx val="1"/>
          <c:order val="1"/>
          <c:tx>
            <c:strRef>
              <c:f>"Electricity"</c:f>
              <c:strCache>
                <c:ptCount val="1"/>
                <c:pt idx="0">
                  <c:v>Electricity</c:v>
                </c:pt>
              </c:strCache>
            </c:strRef>
          </c:tx>
          <c:spPr>
            <a:solidFill>
              <a:srgbClr val="ab474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analysis'!$B$18:$C$18</c:f>
              <c:multiLvlStrCache>
                <c:ptCount val="1"/>
                <c:lvl>
                  <c:pt idx="0">
                    <c:v>C: IMTA + waste valorisation</c:v>
                  </c:pt>
                </c:lvl>
                <c:lvl>
                  <c:pt idx="0">
                    <c:v>A: Fish monoculture</c:v>
                  </c:pt>
                </c:lvl>
              </c:multiLvlStrCache>
            </c:multiLvlStrRef>
          </c:cat>
          <c:val>
            <c:numRef>
              <c:f>'Contribution analysis'!$B$20:$C$20</c:f>
              <c:numCache>
                <c:formatCode>#,##0.0;\-#,##0.0;0</c:formatCode>
                <c:ptCount val="2"/>
                <c:pt idx="0">
                  <c:v>20</c:v>
                </c:pt>
                <c:pt idx="1">
                  <c:v>24</c:v>
                </c:pt>
              </c:numCache>
            </c:numRef>
          </c:val>
        </c:ser>
        <c:ser>
          <c:idx val="2"/>
          <c:order val="2"/>
          <c:tx>
            <c:strRef>
              <c:f>"Boat fuel (diesel + combustion)"</c:f>
              <c:strCache>
                <c:ptCount val="1"/>
                <c:pt idx="0">
                  <c:v>Boat fuel (diesel + combustion)</c:v>
                </c:pt>
              </c:strCache>
            </c:strRef>
          </c:tx>
          <c:spPr>
            <a:solidFill>
              <a:srgbClr val="8aa64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analysis'!$B$18:$C$18</c:f>
              <c:multiLvlStrCache>
                <c:ptCount val="1"/>
                <c:lvl>
                  <c:pt idx="0">
                    <c:v>C: IMTA + waste valorisation</c:v>
                  </c:pt>
                </c:lvl>
                <c:lvl>
                  <c:pt idx="0">
                    <c:v>A: Fish monoculture</c:v>
                  </c:pt>
                </c:lvl>
              </c:multiLvlStrCache>
            </c:multiLvlStrRef>
          </c:cat>
          <c:val>
            <c:numRef>
              <c:f>'Contribution analysis'!$B$21:$C$21</c:f>
              <c:numCache>
                <c:formatCode>#,##0.0;\-#,##0.0;0</c:formatCode>
                <c:ptCount val="2"/>
                <c:pt idx="0">
                  <c:v>2.52</c:v>
                </c:pt>
                <c:pt idx="1">
                  <c:v>3.36</c:v>
                </c:pt>
              </c:numCache>
            </c:numRef>
          </c:val>
        </c:ser>
        <c:ser>
          <c:idx val="3"/>
          <c:order val="3"/>
          <c:tx>
            <c:strRef>
              <c:f>"Ropes and nets (PP)"</c:f>
              <c:strCache>
                <c:ptCount val="1"/>
                <c:pt idx="0">
                  <c:v>Ropes and nets (PP)</c:v>
                </c:pt>
              </c:strCache>
            </c:strRef>
          </c:tx>
          <c:spPr>
            <a:solidFill>
              <a:srgbClr val="72599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analysis'!$B$18:$C$18</c:f>
              <c:multiLvlStrCache>
                <c:ptCount val="1"/>
                <c:lvl>
                  <c:pt idx="0">
                    <c:v>C: IMTA + waste valorisation</c:v>
                  </c:pt>
                </c:lvl>
                <c:lvl>
                  <c:pt idx="0">
                    <c:v>A: Fish monoculture</c:v>
                  </c:pt>
                </c:lvl>
              </c:multiLvlStrCache>
            </c:multiLvlStrRef>
          </c:cat>
          <c:val>
            <c:numRef>
              <c:f>'Contribution analysis'!$B$22:$C$22</c:f>
              <c:numCache>
                <c:formatCode>#,##0.0;\-#,##0.0;0</c:formatCode>
                <c:ptCount val="2"/>
                <c:pt idx="0">
                  <c:v>0.15</c:v>
                </c:pt>
                <c:pt idx="1">
                  <c:v>0.4</c:v>
                </c:pt>
              </c:numCache>
            </c:numRef>
          </c:val>
        </c:ser>
        <c:ser>
          <c:idx val="4"/>
          <c:order val="4"/>
          <c:tx>
            <c:strRef>
              <c:f>"Transport to market"</c:f>
              <c:strCache>
                <c:ptCount val="1"/>
                <c:pt idx="0">
                  <c:v>Transport to market</c:v>
                </c:pt>
              </c:strCache>
            </c:strRef>
          </c:tx>
          <c:spPr>
            <a:solidFill>
              <a:srgbClr val="4299b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analysis'!$B$18:$C$18</c:f>
              <c:multiLvlStrCache>
                <c:ptCount val="1"/>
                <c:lvl>
                  <c:pt idx="0">
                    <c:v>C: IMTA + waste valorisation</c:v>
                  </c:pt>
                </c:lvl>
                <c:lvl>
                  <c:pt idx="0">
                    <c:v>A: Fish monoculture</c:v>
                  </c:pt>
                </c:lvl>
              </c:multiLvlStrCache>
            </c:multiLvlStrRef>
          </c:cat>
          <c:val>
            <c:numRef>
              <c:f>'Contribution analysis'!$B$23:$C$23</c:f>
              <c:numCache>
                <c:formatCode>#,##0.0;\-#,##0.0;0</c:formatCode>
                <c:ptCount val="2"/>
                <c:pt idx="0">
                  <c:v>3.6</c:v>
                </c:pt>
                <c:pt idx="1">
                  <c:v>10.35</c:v>
                </c:pt>
              </c:numCache>
            </c:numRef>
          </c:val>
        </c:ser>
        <c:ser>
          <c:idx val="5"/>
          <c:order val="5"/>
          <c:tx>
            <c:strRef>
              <c:f>"Direct N and P emissions"</c:f>
              <c:strCache>
                <c:ptCount val="1"/>
                <c:pt idx="0">
                  <c:v>Direct N and P emissions</c:v>
                </c:pt>
              </c:strCache>
            </c:strRef>
          </c:tx>
          <c:spPr>
            <a:solidFill>
              <a:srgbClr val="dc853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analysis'!$B$18:$C$18</c:f>
              <c:multiLvlStrCache>
                <c:ptCount val="1"/>
                <c:lvl>
                  <c:pt idx="0">
                    <c:v>C: IMTA + waste valorisation</c:v>
                  </c:pt>
                </c:lvl>
                <c:lvl>
                  <c:pt idx="0">
                    <c:v>A: Fish monoculture</c:v>
                  </c:pt>
                </c:lvl>
              </c:multiLvlStrCache>
            </c:multiLvlStrRef>
          </c:cat>
          <c:val>
            <c:numRef>
              <c:f>'Contribution analysis'!$B$24:$C$24</c:f>
              <c:numCache>
                <c:formatCode>#,##0.0;\-#,##0.0;0</c:formatCode>
                <c:ptCount val="2"/>
                <c:pt idx="0">
                  <c:v>3000</c:v>
                </c:pt>
                <c:pt idx="1">
                  <c:v>2450</c:v>
                </c:pt>
              </c:numCache>
            </c:numRef>
          </c:val>
        </c:ser>
        <c:ser>
          <c:idx val="6"/>
          <c:order val="6"/>
          <c:tx>
            <c:strRef>
              <c:f>"Waste valorisation processes"</c:f>
              <c:strCache>
                <c:ptCount val="1"/>
                <c:pt idx="0">
                  <c:v>Waste valorisation processes</c:v>
                </c:pt>
              </c:strCache>
            </c:strRef>
          </c:tx>
          <c:spPr>
            <a:solidFill>
              <a:srgbClr val="93a9c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analysis'!$B$18:$C$18</c:f>
              <c:multiLvlStrCache>
                <c:ptCount val="1"/>
                <c:lvl>
                  <c:pt idx="0">
                    <c:v>C: IMTA + waste valorisation</c:v>
                  </c:pt>
                </c:lvl>
                <c:lvl>
                  <c:pt idx="0">
                    <c:v>A: Fish monoculture</c:v>
                  </c:pt>
                </c:lvl>
              </c:multiLvlStrCache>
            </c:multiLvlStrRef>
          </c:cat>
          <c:val>
            <c:numRef>
              <c:f>'Contribution analysis'!$B$25:$C$25</c:f>
              <c:numCache>
                <c:formatCode>#,##0.0;\-#,##0.0;0</c:formatCode>
                <c:ptCount val="2"/>
                <c:pt idx="0">
                  <c:v>0</c:v>
                </c:pt>
                <c:pt idx="1">
                  <c:v>5.34</c:v>
                </c:pt>
              </c:numCache>
            </c:numRef>
          </c:val>
        </c:ser>
        <c:ser>
          <c:idx val="7"/>
          <c:order val="7"/>
          <c:tx>
            <c:strRef>
              <c:f>"Credits: avoided lime and fertiliser"</c:f>
              <c:strCache>
                <c:ptCount val="1"/>
                <c:pt idx="0">
                  <c:v>Credits: avoided lime and fertiliser</c:v>
                </c:pt>
              </c:strCache>
            </c:strRef>
          </c:tx>
          <c:spPr>
            <a:solidFill>
              <a:srgbClr val="d09493"/>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analysis'!$B$18:$C$18</c:f>
              <c:multiLvlStrCache>
                <c:ptCount val="1"/>
                <c:lvl>
                  <c:pt idx="0">
                    <c:v>C: IMTA + waste valorisation</c:v>
                  </c:pt>
                </c:lvl>
                <c:lvl>
                  <c:pt idx="0">
                    <c:v>A: Fish monoculture</c:v>
                  </c:pt>
                </c:lvl>
              </c:multiLvlStrCache>
            </c:multiLvlStrRef>
          </c:cat>
          <c:val>
            <c:numRef>
              <c:f>'Contribution analysis'!$B$26:$C$26</c:f>
              <c:numCache>
                <c:formatCode>#,##0.0;\-#,##0.0;0</c:formatCode>
                <c:ptCount val="2"/>
                <c:pt idx="0">
                  <c:v>-0</c:v>
                </c:pt>
                <c:pt idx="1">
                  <c:v>-0.35</c:v>
                </c:pt>
              </c:numCache>
            </c:numRef>
          </c:val>
        </c:ser>
        <c:gapWidth val="150"/>
        <c:overlap val="100"/>
        <c:axId val="80637641"/>
        <c:axId val="84778171"/>
      </c:barChart>
      <c:catAx>
        <c:axId val="8063764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778171"/>
        <c:crosses val="autoZero"/>
        <c:auto val="1"/>
        <c:lblAlgn val="ctr"/>
        <c:lblOffset val="100"/>
        <c:noMultiLvlLbl val="0"/>
      </c:catAx>
      <c:valAx>
        <c:axId val="8477817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kg N-eq</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63764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Energy demand by contributor (MJ/yr)</a:t>
            </a:r>
          </a:p>
        </c:rich>
      </c:tx>
      <c:overlay val="0"/>
      <c:spPr>
        <a:noFill/>
        <a:ln w="0">
          <a:noFill/>
        </a:ln>
      </c:spPr>
    </c:title>
    <c:autoTitleDeleted val="0"/>
    <c:plotArea>
      <c:barChart>
        <c:barDir val="col"/>
        <c:grouping val="stacked"/>
        <c:varyColors val="0"/>
        <c:ser>
          <c:idx val="0"/>
          <c:order val="0"/>
          <c:tx>
            <c:strRef>
              <c:f>"Feed (5 ingredients)"</c:f>
              <c:strCache>
                <c:ptCount val="1"/>
                <c:pt idx="0">
                  <c:v>Feed (5 ingredients)</c:v>
                </c:pt>
              </c:strCache>
            </c:strRef>
          </c:tx>
          <c:spPr>
            <a:solidFill>
              <a:srgbClr val="4672a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analysis'!$B$31:$C$31</c:f>
              <c:multiLvlStrCache>
                <c:ptCount val="1"/>
                <c:lvl>
                  <c:pt idx="0">
                    <c:v>C: IMTA + waste valorisation</c:v>
                  </c:pt>
                </c:lvl>
                <c:lvl>
                  <c:pt idx="0">
                    <c:v>A: Fish monoculture</c:v>
                  </c:pt>
                </c:lvl>
              </c:multiLvlStrCache>
            </c:multiLvlStrRef>
          </c:cat>
          <c:val>
            <c:numRef>
              <c:f>'Contribution analysis'!$B$32:$C$32</c:f>
              <c:numCache>
                <c:formatCode>#,##0.0;\-#,##0.0;0</c:formatCode>
                <c:ptCount val="2"/>
                <c:pt idx="0">
                  <c:v>756000</c:v>
                </c:pt>
                <c:pt idx="1">
                  <c:v>756000</c:v>
                </c:pt>
              </c:numCache>
            </c:numRef>
          </c:val>
        </c:ser>
        <c:ser>
          <c:idx val="1"/>
          <c:order val="1"/>
          <c:tx>
            <c:strRef>
              <c:f>"Electricity"</c:f>
              <c:strCache>
                <c:ptCount val="1"/>
                <c:pt idx="0">
                  <c:v>Electricity</c:v>
                </c:pt>
              </c:strCache>
            </c:strRef>
          </c:tx>
          <c:spPr>
            <a:solidFill>
              <a:srgbClr val="ab474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analysis'!$B$31:$C$31</c:f>
              <c:multiLvlStrCache>
                <c:ptCount val="1"/>
                <c:lvl>
                  <c:pt idx="0">
                    <c:v>C: IMTA + waste valorisation</c:v>
                  </c:pt>
                </c:lvl>
                <c:lvl>
                  <c:pt idx="0">
                    <c:v>A: Fish monoculture</c:v>
                  </c:pt>
                </c:lvl>
              </c:multiLvlStrCache>
            </c:multiLvlStrRef>
          </c:cat>
          <c:val>
            <c:numRef>
              <c:f>'Contribution analysis'!$B$33:$C$33</c:f>
              <c:numCache>
                <c:formatCode>#,##0.0;\-#,##0.0;0</c:formatCode>
                <c:ptCount val="2"/>
                <c:pt idx="0">
                  <c:v>900000</c:v>
                </c:pt>
                <c:pt idx="1">
                  <c:v>1080000</c:v>
                </c:pt>
              </c:numCache>
            </c:numRef>
          </c:val>
        </c:ser>
        <c:ser>
          <c:idx val="2"/>
          <c:order val="2"/>
          <c:tx>
            <c:strRef>
              <c:f>"Boat fuel (diesel + combustion)"</c:f>
              <c:strCache>
                <c:ptCount val="1"/>
                <c:pt idx="0">
                  <c:v>Boat fuel (diesel + combustion)</c:v>
                </c:pt>
              </c:strCache>
            </c:strRef>
          </c:tx>
          <c:spPr>
            <a:solidFill>
              <a:srgbClr val="8aa64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analysis'!$B$31:$C$31</c:f>
              <c:multiLvlStrCache>
                <c:ptCount val="1"/>
                <c:lvl>
                  <c:pt idx="0">
                    <c:v>C: IMTA + waste valorisation</c:v>
                  </c:pt>
                </c:lvl>
                <c:lvl>
                  <c:pt idx="0">
                    <c:v>A: Fish monoculture</c:v>
                  </c:pt>
                </c:lvl>
              </c:multiLvlStrCache>
            </c:multiLvlStrRef>
          </c:cat>
          <c:val>
            <c:numRef>
              <c:f>'Contribution analysis'!$B$34:$C$34</c:f>
              <c:numCache>
                <c:formatCode>#,##0.0;\-#,##0.0;0</c:formatCode>
                <c:ptCount val="2"/>
                <c:pt idx="0">
                  <c:v>126000</c:v>
                </c:pt>
                <c:pt idx="1">
                  <c:v>168000</c:v>
                </c:pt>
              </c:numCache>
            </c:numRef>
          </c:val>
        </c:ser>
        <c:ser>
          <c:idx val="3"/>
          <c:order val="3"/>
          <c:tx>
            <c:strRef>
              <c:f>"Ropes and nets (PP)"</c:f>
              <c:strCache>
                <c:ptCount val="1"/>
                <c:pt idx="0">
                  <c:v>Ropes and nets (PP)</c:v>
                </c:pt>
              </c:strCache>
            </c:strRef>
          </c:tx>
          <c:spPr>
            <a:solidFill>
              <a:srgbClr val="72599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analysis'!$B$31:$C$31</c:f>
              <c:multiLvlStrCache>
                <c:ptCount val="1"/>
                <c:lvl>
                  <c:pt idx="0">
                    <c:v>C: IMTA + waste valorisation</c:v>
                  </c:pt>
                </c:lvl>
                <c:lvl>
                  <c:pt idx="0">
                    <c:v>A: Fish monoculture</c:v>
                  </c:pt>
                </c:lvl>
              </c:multiLvlStrCache>
            </c:multiLvlStrRef>
          </c:cat>
          <c:val>
            <c:numRef>
              <c:f>'Contribution analysis'!$B$35:$C$35</c:f>
              <c:numCache>
                <c:formatCode>#,##0.0;\-#,##0.0;0</c:formatCode>
                <c:ptCount val="2"/>
                <c:pt idx="0">
                  <c:v>22500</c:v>
                </c:pt>
                <c:pt idx="1">
                  <c:v>60000</c:v>
                </c:pt>
              </c:numCache>
            </c:numRef>
          </c:val>
        </c:ser>
        <c:ser>
          <c:idx val="4"/>
          <c:order val="4"/>
          <c:tx>
            <c:strRef>
              <c:f>"Transport to market"</c:f>
              <c:strCache>
                <c:ptCount val="1"/>
                <c:pt idx="0">
                  <c:v>Transport to market</c:v>
                </c:pt>
              </c:strCache>
            </c:strRef>
          </c:tx>
          <c:spPr>
            <a:solidFill>
              <a:srgbClr val="4299b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analysis'!$B$31:$C$31</c:f>
              <c:multiLvlStrCache>
                <c:ptCount val="1"/>
                <c:lvl>
                  <c:pt idx="0">
                    <c:v>C: IMTA + waste valorisation</c:v>
                  </c:pt>
                </c:lvl>
                <c:lvl>
                  <c:pt idx="0">
                    <c:v>A: Fish monoculture</c:v>
                  </c:pt>
                </c:lvl>
              </c:multiLvlStrCache>
            </c:multiLvlStrRef>
          </c:cat>
          <c:val>
            <c:numRef>
              <c:f>'Contribution analysis'!$B$36:$C$36</c:f>
              <c:numCache>
                <c:formatCode>#,##0.0;\-#,##0.0;0</c:formatCode>
                <c:ptCount val="2"/>
                <c:pt idx="0">
                  <c:v>21600</c:v>
                </c:pt>
                <c:pt idx="1">
                  <c:v>62100</c:v>
                </c:pt>
              </c:numCache>
            </c:numRef>
          </c:val>
        </c:ser>
        <c:ser>
          <c:idx val="5"/>
          <c:order val="5"/>
          <c:tx>
            <c:strRef>
              <c:f>"Direct N and P emissions"</c:f>
              <c:strCache>
                <c:ptCount val="1"/>
                <c:pt idx="0">
                  <c:v>Direct N and P emissions</c:v>
                </c:pt>
              </c:strCache>
            </c:strRef>
          </c:tx>
          <c:spPr>
            <a:solidFill>
              <a:srgbClr val="dc853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analysis'!$B$31:$C$31</c:f>
              <c:multiLvlStrCache>
                <c:ptCount val="1"/>
                <c:lvl>
                  <c:pt idx="0">
                    <c:v>C: IMTA + waste valorisation</c:v>
                  </c:pt>
                </c:lvl>
                <c:lvl>
                  <c:pt idx="0">
                    <c:v>A: Fish monoculture</c:v>
                  </c:pt>
                </c:lvl>
              </c:multiLvlStrCache>
            </c:multiLvlStrRef>
          </c:cat>
          <c:val>
            <c:numRef>
              <c:f>'Contribution analysis'!$B$37:$C$37</c:f>
              <c:numCache>
                <c:formatCode>#,##0.0;\-#,##0.0;0</c:formatCode>
                <c:ptCount val="2"/>
                <c:pt idx="0">
                  <c:v>0</c:v>
                </c:pt>
                <c:pt idx="1">
                  <c:v>0</c:v>
                </c:pt>
              </c:numCache>
            </c:numRef>
          </c:val>
        </c:ser>
        <c:ser>
          <c:idx val="6"/>
          <c:order val="6"/>
          <c:tx>
            <c:strRef>
              <c:f>"Waste valorisation processes"</c:f>
              <c:strCache>
                <c:ptCount val="1"/>
                <c:pt idx="0">
                  <c:v>Waste valorisation processes</c:v>
                </c:pt>
              </c:strCache>
            </c:strRef>
          </c:tx>
          <c:spPr>
            <a:solidFill>
              <a:srgbClr val="93a9c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analysis'!$B$31:$C$31</c:f>
              <c:multiLvlStrCache>
                <c:ptCount val="1"/>
                <c:lvl>
                  <c:pt idx="0">
                    <c:v>C: IMTA + waste valorisation</c:v>
                  </c:pt>
                </c:lvl>
                <c:lvl>
                  <c:pt idx="0">
                    <c:v>A: Fish monoculture</c:v>
                  </c:pt>
                </c:lvl>
              </c:multiLvlStrCache>
            </c:multiLvlStrRef>
          </c:cat>
          <c:val>
            <c:numRef>
              <c:f>'Contribution analysis'!$B$38:$C$38</c:f>
              <c:numCache>
                <c:formatCode>#,##0.0;\-#,##0.0;0</c:formatCode>
                <c:ptCount val="2"/>
                <c:pt idx="0">
                  <c:v>0</c:v>
                </c:pt>
                <c:pt idx="1">
                  <c:v>4600</c:v>
                </c:pt>
              </c:numCache>
            </c:numRef>
          </c:val>
        </c:ser>
        <c:ser>
          <c:idx val="7"/>
          <c:order val="7"/>
          <c:tx>
            <c:strRef>
              <c:f>"Credits: avoided lime and fertiliser"</c:f>
              <c:strCache>
                <c:ptCount val="1"/>
                <c:pt idx="0">
                  <c:v>Credits: avoided lime and fertiliser</c:v>
                </c:pt>
              </c:strCache>
            </c:strRef>
          </c:tx>
          <c:spPr>
            <a:solidFill>
              <a:srgbClr val="d09493"/>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'Contribution analysis'!$B$31:$C$31</c:f>
              <c:multiLvlStrCache>
                <c:ptCount val="1"/>
                <c:lvl>
                  <c:pt idx="0">
                    <c:v>C: IMTA + waste valorisation</c:v>
                  </c:pt>
                </c:lvl>
                <c:lvl>
                  <c:pt idx="0">
                    <c:v>A: Fish monoculture</c:v>
                  </c:pt>
                </c:lvl>
              </c:multiLvlStrCache>
            </c:multiLvlStrRef>
          </c:cat>
          <c:val>
            <c:numRef>
              <c:f>'Contribution analysis'!$B$39:$C$39</c:f>
              <c:numCache>
                <c:formatCode>#,##0.0;\-#,##0.0;0</c:formatCode>
                <c:ptCount val="2"/>
                <c:pt idx="0">
                  <c:v>-0</c:v>
                </c:pt>
                <c:pt idx="1">
                  <c:v>-4500</c:v>
                </c:pt>
              </c:numCache>
            </c:numRef>
          </c:val>
        </c:ser>
        <c:gapWidth val="150"/>
        <c:overlap val="100"/>
        <c:axId val="72361366"/>
        <c:axId val="18991455"/>
      </c:barChart>
      <c:catAx>
        <c:axId val="7236136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991455"/>
        <c:crosses val="autoZero"/>
        <c:auto val="1"/>
        <c:lblAlgn val="ctr"/>
        <c:lblOffset val="100"/>
        <c:noMultiLvlLbl val="0"/>
      </c:catAx>
      <c:valAx>
        <c:axId val="1899145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MJ</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36136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Climate change contributors, scenario B</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Pt>
            <c:idx val="5"/>
            <c:spPr>
              <a:solidFill>
                <a:srgbClr val="f79646"/>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5"/>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'Contribution analysis'!$A$6:$A$11</c:f>
              <c:strCache>
                <c:ptCount val="6"/>
                <c:pt idx="0">
                  <c:v>Feed (5 ingredients)</c:v>
                </c:pt>
                <c:pt idx="1">
                  <c:v>Electricity</c:v>
                </c:pt>
                <c:pt idx="2">
                  <c:v>Boat fuel (diesel + combustion)</c:v>
                </c:pt>
                <c:pt idx="3">
                  <c:v>Ropes and nets (PP)</c:v>
                </c:pt>
                <c:pt idx="4">
                  <c:v>Transport to market</c:v>
                </c:pt>
                <c:pt idx="5">
                  <c:v>Direct N and P emissions</c:v>
                </c:pt>
              </c:strCache>
            </c:strRef>
          </c:cat>
          <c:val>
            <c:numRef>
              <c:f>'Contribution analysis'!$C$6:$C$11</c:f>
              <c:numCache>
                <c:formatCode>#,##0.0;\-#,##0.0;0</c:formatCode>
                <c:ptCount val="6"/>
                <c:pt idx="0">
                  <c:v>84300</c:v>
                </c:pt>
                <c:pt idx="1">
                  <c:v>24000</c:v>
                </c:pt>
                <c:pt idx="2">
                  <c:v>12633.6</c:v>
                </c:pt>
                <c:pt idx="3">
                  <c:v>1600</c:v>
                </c:pt>
                <c:pt idx="4">
                  <c:v>4140</c:v>
                </c:pt>
                <c:pt idx="5">
                  <c:v>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Climate change per kg fish (economic allocation)</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Results!$C$4:$D$4</c:f>
              <c:strCache>
                <c:ptCount val="2"/>
                <c:pt idx="0">
                  <c:v>A: Fish monoculture</c:v>
                </c:pt>
                <c:pt idx="1">
                  <c:v>C: IMTA + waste valorisation</c:v>
                </c:pt>
              </c:strCache>
            </c:strRef>
          </c:cat>
          <c:val>
            <c:numRef>
              <c:f>Results!$C$9:$D$9</c:f>
              <c:numCache>
                <c:formatCode>0.00</c:formatCode>
                <c:ptCount val="2"/>
                <c:pt idx="0">
                  <c:v>2.89538</c:v>
                </c:pt>
                <c:pt idx="1">
                  <c:v>2.12487473053892</c:v>
                </c:pt>
              </c:numCache>
            </c:numRef>
          </c:val>
        </c:ser>
        <c:gapWidth val="150"/>
        <c:overlap val="0"/>
        <c:axId val="17455297"/>
        <c:axId val="74607345"/>
      </c:barChart>
      <c:catAx>
        <c:axId val="1745529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607345"/>
        <c:crosses val="autoZero"/>
        <c:auto val="1"/>
        <c:lblAlgn val="ctr"/>
        <c:lblOffset val="100"/>
        <c:noMultiLvlLbl val="0"/>
      </c:catAx>
      <c:valAx>
        <c:axId val="74607345"/>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45529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Nitrogen emitted to sea (kg N/yr)</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Results!$C$4:$D$4</c:f>
              <c:strCache>
                <c:ptCount val="2"/>
                <c:pt idx="0">
                  <c:v>A: Fish monoculture</c:v>
                </c:pt>
                <c:pt idx="1">
                  <c:v>C: IMTA + waste valorisation</c:v>
                </c:pt>
              </c:strCache>
            </c:strRef>
          </c:cat>
          <c:val>
            <c:numRef>
              <c:f>Results!$C$13:$D$13</c:f>
              <c:numCache>
                <c:formatCode>#,##0</c:formatCode>
                <c:ptCount val="2"/>
                <c:pt idx="0">
                  <c:v>3000</c:v>
                </c:pt>
                <c:pt idx="1">
                  <c:v>2450</c:v>
                </c:pt>
              </c:numCache>
            </c:numRef>
          </c:val>
        </c:ser>
        <c:gapWidth val="150"/>
        <c:overlap val="0"/>
        <c:axId val="67945123"/>
        <c:axId val="87342944"/>
      </c:barChart>
      <c:catAx>
        <c:axId val="6794512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342944"/>
        <c:crosses val="autoZero"/>
        <c:auto val="1"/>
        <c:lblAlgn val="ctr"/>
        <c:lblOffset val="100"/>
        <c:noMultiLvlLbl val="0"/>
      </c:catAx>
      <c:valAx>
        <c:axId val="87342944"/>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94512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Climate change by contributor group, scenario B (kg CO2-eq/yr)</a:t>
            </a:r>
          </a:p>
        </c:rich>
      </c:tx>
      <c:overlay val="0"/>
      <c:spPr>
        <a:noFill/>
        <a:ln w="0">
          <a:noFill/>
        </a:ln>
      </c:spPr>
    </c:title>
    <c:autoTitleDeleted val="0"/>
    <c:plotArea>
      <c:barChart>
        <c:barDir val="bar"/>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'openLCA results'!$A$28:$A$36</c:f>
              <c:strCache>
                <c:ptCount val="9"/>
                <c:pt idx="0">
                  <c:v>Land use change (crops for feed)</c:v>
                </c:pt>
                <c:pt idx="1">
                  <c:v>Fuels and heat</c:v>
                </c:pt>
                <c:pt idx="2">
                  <c:v>Transport</c:v>
                </c:pt>
                <c:pt idx="3">
                  <c:v>Crop farming (feed ingredients)</c:v>
                </c:pt>
                <c:pt idx="4">
                  <c:v>Electricity generation</c:v>
                </c:pt>
                <c:pt idx="5">
                  <c:v>IMTA farm (direct: boat CO2, N, P)</c:v>
                </c:pt>
                <c:pt idx="6">
                  <c:v>Other background processes</c:v>
                </c:pt>
                <c:pt idx="7">
                  <c:v>Fishing and fishmeal processing</c:v>
                </c:pt>
                <c:pt idx="8">
                  <c:v>Plastics and chemicals</c:v>
                </c:pt>
              </c:strCache>
            </c:strRef>
          </c:cat>
          <c:val>
            <c:numRef>
              <c:f>'openLCA results'!$B$28:$B$36</c:f>
              <c:numCache>
                <c:formatCode>#,##0</c:formatCode>
                <c:ptCount val="9"/>
                <c:pt idx="0">
                  <c:v>21685.66</c:v>
                </c:pt>
                <c:pt idx="1">
                  <c:v>13306.96</c:v>
                </c:pt>
                <c:pt idx="2">
                  <c:v>8935.07</c:v>
                </c:pt>
                <c:pt idx="3">
                  <c:v>8432.86</c:v>
                </c:pt>
                <c:pt idx="4">
                  <c:v>7432.54</c:v>
                </c:pt>
                <c:pt idx="5">
                  <c:v>7122.4</c:v>
                </c:pt>
                <c:pt idx="6">
                  <c:v>3681.24</c:v>
                </c:pt>
                <c:pt idx="7">
                  <c:v>1359.28</c:v>
                </c:pt>
                <c:pt idx="8">
                  <c:v>1069.61</c:v>
                </c:pt>
              </c:numCache>
            </c:numRef>
          </c:val>
        </c:ser>
        <c:gapWidth val="150"/>
        <c:overlap val="0"/>
        <c:axId val="91781160"/>
        <c:axId val="10531991"/>
      </c:barChart>
      <c:catAx>
        <c:axId val="9178116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531991"/>
        <c:crosses val="autoZero"/>
        <c:auto val="1"/>
        <c:lblAlgn val="ctr"/>
        <c:lblOffset val="100"/>
        <c:noMultiLvlLbl val="0"/>
      </c:catAx>
      <c:valAx>
        <c:axId val="10531991"/>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78116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Share of climate change, scenario B</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4672a8"/>
              </a:solidFill>
              <a:ln w="0">
                <a:noFill/>
              </a:ln>
            </c:spPr>
          </c:dPt>
          <c:dPt>
            <c:idx val="1"/>
            <c:spPr>
              <a:solidFill>
                <a:srgbClr val="ab4744"/>
              </a:solidFill>
              <a:ln w="0">
                <a:noFill/>
              </a:ln>
            </c:spPr>
          </c:dPt>
          <c:dPt>
            <c:idx val="2"/>
            <c:spPr>
              <a:solidFill>
                <a:srgbClr val="8aa64f"/>
              </a:solidFill>
              <a:ln w="0">
                <a:noFill/>
              </a:ln>
            </c:spPr>
          </c:dPt>
          <c:dPt>
            <c:idx val="3"/>
            <c:spPr>
              <a:solidFill>
                <a:srgbClr val="725990"/>
              </a:solidFill>
              <a:ln w="0">
                <a:noFill/>
              </a:ln>
            </c:spPr>
          </c:dPt>
          <c:dPt>
            <c:idx val="4"/>
            <c:spPr>
              <a:solidFill>
                <a:srgbClr val="4299b0"/>
              </a:solidFill>
              <a:ln w="0">
                <a:noFill/>
              </a:ln>
            </c:spPr>
          </c:dPt>
          <c:dPt>
            <c:idx val="5"/>
            <c:spPr>
              <a:solidFill>
                <a:srgbClr val="dc853e"/>
              </a:solidFill>
              <a:ln w="0">
                <a:noFill/>
              </a:ln>
            </c:spPr>
          </c:dPt>
          <c:dPt>
            <c:idx val="6"/>
            <c:spPr>
              <a:solidFill>
                <a:srgbClr val="93a9ce"/>
              </a:solidFill>
              <a:ln w="0">
                <a:noFill/>
              </a:ln>
            </c:spPr>
          </c:dPt>
          <c:dPt>
            <c:idx val="7"/>
            <c:spPr>
              <a:solidFill>
                <a:srgbClr val="d09493"/>
              </a:solidFill>
              <a:ln w="0">
                <a:noFill/>
              </a:ln>
            </c:spPr>
          </c:dPt>
          <c:dPt>
            <c:idx val="8"/>
            <c:spPr>
              <a:solidFill>
                <a:srgbClr val="b8cd97"/>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5"/>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6"/>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7"/>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8"/>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'openLCA results'!$A$28:$A$36</c:f>
              <c:strCache>
                <c:ptCount val="9"/>
                <c:pt idx="0">
                  <c:v>Land use change (crops for feed)</c:v>
                </c:pt>
                <c:pt idx="1">
                  <c:v>Fuels and heat</c:v>
                </c:pt>
                <c:pt idx="2">
                  <c:v>Transport</c:v>
                </c:pt>
                <c:pt idx="3">
                  <c:v>Crop farming (feed ingredients)</c:v>
                </c:pt>
                <c:pt idx="4">
                  <c:v>Electricity generation</c:v>
                </c:pt>
                <c:pt idx="5">
                  <c:v>IMTA farm (direct: boat CO2, N, P)</c:v>
                </c:pt>
                <c:pt idx="6">
                  <c:v>Other background processes</c:v>
                </c:pt>
                <c:pt idx="7">
                  <c:v>Fishing and fishmeal processing</c:v>
                </c:pt>
                <c:pt idx="8">
                  <c:v>Plastics and chemicals</c:v>
                </c:pt>
              </c:strCache>
            </c:strRef>
          </c:cat>
          <c:val>
            <c:numRef>
              <c:f>'openLCA results'!$B$28:$B$36</c:f>
              <c:numCache>
                <c:formatCode>#,##0</c:formatCode>
                <c:ptCount val="9"/>
                <c:pt idx="0">
                  <c:v>21685.66</c:v>
                </c:pt>
                <c:pt idx="1">
                  <c:v>13306.96</c:v>
                </c:pt>
                <c:pt idx="2">
                  <c:v>8935.07</c:v>
                </c:pt>
                <c:pt idx="3">
                  <c:v>8432.86</c:v>
                </c:pt>
                <c:pt idx="4">
                  <c:v>7432.54</c:v>
                </c:pt>
                <c:pt idx="5">
                  <c:v>7122.4</c:v>
                </c:pt>
                <c:pt idx="6">
                  <c:v>3681.24</c:v>
                </c:pt>
                <c:pt idx="7">
                  <c:v>1359.28</c:v>
                </c:pt>
                <c:pt idx="8">
                  <c:v>1069.61</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Marine eutrophication by contributor group (kg N-eq/yr)</a:t>
            </a:r>
          </a:p>
        </c:rich>
      </c:tx>
      <c:overlay val="0"/>
      <c:spPr>
        <a:noFill/>
        <a:ln w="0">
          <a:noFill/>
        </a:ln>
      </c:spPr>
    </c:title>
    <c:autoTitleDeleted val="0"/>
    <c:plotArea>
      <c:barChart>
        <c:barDir val="bar"/>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'openLCA results'!$A$42:$A$49</c:f>
              <c:strCache>
                <c:ptCount val="8"/>
                <c:pt idx="0">
                  <c:v>Crop farming (feed ingredients)</c:v>
                </c:pt>
                <c:pt idx="1">
                  <c:v>Transport</c:v>
                </c:pt>
                <c:pt idx="2">
                  <c:v>Fuels and heat</c:v>
                </c:pt>
                <c:pt idx="3">
                  <c:v>Fishing and fishmeal processing</c:v>
                </c:pt>
                <c:pt idx="4">
                  <c:v>Electricity generation</c:v>
                </c:pt>
                <c:pt idx="5">
                  <c:v>Other background processes</c:v>
                </c:pt>
                <c:pt idx="6">
                  <c:v>Land use change (crops for feed)</c:v>
                </c:pt>
                <c:pt idx="7">
                  <c:v>Plastics and chemicals</c:v>
                </c:pt>
              </c:strCache>
            </c:strRef>
          </c:cat>
          <c:val>
            <c:numRef>
              <c:f>'openLCA results'!$B$42:$B$49</c:f>
              <c:numCache>
                <c:formatCode>#,##0</c:formatCode>
                <c:ptCount val="8"/>
                <c:pt idx="0">
                  <c:v>317.94</c:v>
                </c:pt>
                <c:pt idx="1">
                  <c:v>20.35</c:v>
                </c:pt>
                <c:pt idx="2">
                  <c:v>14.73</c:v>
                </c:pt>
                <c:pt idx="3">
                  <c:v>13.09</c:v>
                </c:pt>
                <c:pt idx="4">
                  <c:v>6.24</c:v>
                </c:pt>
                <c:pt idx="5">
                  <c:v>5.11</c:v>
                </c:pt>
                <c:pt idx="6">
                  <c:v>2.1</c:v>
                </c:pt>
                <c:pt idx="7">
                  <c:v>0.75</c:v>
                </c:pt>
              </c:numCache>
            </c:numRef>
          </c:val>
        </c:ser>
        <c:gapWidth val="150"/>
        <c:overlap val="0"/>
        <c:axId val="63316961"/>
        <c:axId val="13792274"/>
      </c:barChart>
      <c:catAx>
        <c:axId val="6331696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792274"/>
        <c:crosses val="autoZero"/>
        <c:auto val="1"/>
        <c:lblAlgn val="ctr"/>
        <c:lblOffset val="100"/>
        <c:noMultiLvlLbl val="0"/>
      </c:catAx>
      <c:valAx>
        <c:axId val="13792274"/>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31696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
</Relationships>
</file>

<file path=xl/drawings/_rels/drawing3.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
</Relationships>
</file>

<file path=xl/drawings/_rels/drawing4.xml.rels><?xml version="1.0" encoding="UTF-8"?>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xdr:row>
      <xdr:rowOff>160920</xdr:rowOff>
    </xdr:from>
    <xdr:to>
      <xdr:col>16</xdr:col>
      <xdr:colOff>364320</xdr:colOff>
      <xdr:row>19</xdr:row>
      <xdr:rowOff>11520</xdr:rowOff>
    </xdr:to>
    <xdr:graphicFrame>
      <xdr:nvGraphicFramePr>
        <xdr:cNvPr id="0" name="Chart 1"/>
        <xdr:cNvGraphicFramePr/>
      </xdr:nvGraphicFramePr>
      <xdr:xfrm>
        <a:off x="8153280" y="57168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xdr:row>
      <xdr:rowOff>160920</xdr:rowOff>
    </xdr:from>
    <xdr:to>
      <xdr:col>16</xdr:col>
      <xdr:colOff>4680</xdr:colOff>
      <xdr:row>18</xdr:row>
      <xdr:rowOff>51480</xdr:rowOff>
    </xdr:to>
    <xdr:graphicFrame>
      <xdr:nvGraphicFramePr>
        <xdr:cNvPr id="1" name="Chart 1"/>
        <xdr:cNvGraphicFramePr/>
      </xdr:nvGraphicFramePr>
      <xdr:xfrm>
        <a:off x="7941960" y="571680"/>
        <a:ext cx="61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23</xdr:row>
      <xdr:rowOff>50040</xdr:rowOff>
    </xdr:from>
    <xdr:to>
      <xdr:col>16</xdr:col>
      <xdr:colOff>4680</xdr:colOff>
      <xdr:row>39</xdr:row>
      <xdr:rowOff>91080</xdr:rowOff>
    </xdr:to>
    <xdr:graphicFrame>
      <xdr:nvGraphicFramePr>
        <xdr:cNvPr id="2" name="Chart 2"/>
        <xdr:cNvGraphicFramePr/>
      </xdr:nvGraphicFramePr>
      <xdr:xfrm>
        <a:off x="7941960" y="4762440"/>
        <a:ext cx="61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44</xdr:row>
      <xdr:rowOff>90360</xdr:rowOff>
    </xdr:from>
    <xdr:to>
      <xdr:col>16</xdr:col>
      <xdr:colOff>4680</xdr:colOff>
      <xdr:row>61</xdr:row>
      <xdr:rowOff>91440</xdr:rowOff>
    </xdr:to>
    <xdr:graphicFrame>
      <xdr:nvGraphicFramePr>
        <xdr:cNvPr id="3" name="Chart 3"/>
        <xdr:cNvGraphicFramePr/>
      </xdr:nvGraphicFramePr>
      <xdr:xfrm>
        <a:off x="7941960" y="8953560"/>
        <a:ext cx="611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66</xdr:row>
      <xdr:rowOff>90360</xdr:rowOff>
    </xdr:from>
    <xdr:to>
      <xdr:col>14</xdr:col>
      <xdr:colOff>147600</xdr:colOff>
      <xdr:row>83</xdr:row>
      <xdr:rowOff>91440</xdr:rowOff>
    </xdr:to>
    <xdr:graphicFrame>
      <xdr:nvGraphicFramePr>
        <xdr:cNvPr id="4" name="Chart 4"/>
        <xdr:cNvGraphicFramePr/>
      </xdr:nvGraphicFramePr>
      <xdr:xfrm>
        <a:off x="7941960" y="13144680"/>
        <a:ext cx="503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160920</xdr:rowOff>
    </xdr:from>
    <xdr:to>
      <xdr:col>15</xdr:col>
      <xdr:colOff>147600</xdr:colOff>
      <xdr:row>15</xdr:row>
      <xdr:rowOff>53640</xdr:rowOff>
    </xdr:to>
    <xdr:graphicFrame>
      <xdr:nvGraphicFramePr>
        <xdr:cNvPr id="5" name="Chart 1"/>
        <xdr:cNvGraphicFramePr/>
      </xdr:nvGraphicFramePr>
      <xdr:xfrm>
        <a:off x="9986040" y="571680"/>
        <a:ext cx="503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18</xdr:row>
      <xdr:rowOff>10080</xdr:rowOff>
    </xdr:from>
    <xdr:to>
      <xdr:col>15</xdr:col>
      <xdr:colOff>147600</xdr:colOff>
      <xdr:row>30</xdr:row>
      <xdr:rowOff>93240</xdr:rowOff>
    </xdr:to>
    <xdr:graphicFrame>
      <xdr:nvGraphicFramePr>
        <xdr:cNvPr id="6" name="Chart 2"/>
        <xdr:cNvGraphicFramePr/>
      </xdr:nvGraphicFramePr>
      <xdr:xfrm>
        <a:off x="9986040" y="3619440"/>
        <a:ext cx="503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xdr:row>
      <xdr:rowOff>160920</xdr:rowOff>
    </xdr:from>
    <xdr:to>
      <xdr:col>16</xdr:col>
      <xdr:colOff>364320</xdr:colOff>
      <xdr:row>19</xdr:row>
      <xdr:rowOff>162000</xdr:rowOff>
    </xdr:to>
    <xdr:graphicFrame>
      <xdr:nvGraphicFramePr>
        <xdr:cNvPr id="7" name="Chart 1"/>
        <xdr:cNvGraphicFramePr/>
      </xdr:nvGraphicFramePr>
      <xdr:xfrm>
        <a:off x="12170880" y="57168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22</xdr:row>
      <xdr:rowOff>160560</xdr:rowOff>
    </xdr:from>
    <xdr:to>
      <xdr:col>14</xdr:col>
      <xdr:colOff>147600</xdr:colOff>
      <xdr:row>39</xdr:row>
      <xdr:rowOff>162000</xdr:rowOff>
    </xdr:to>
    <xdr:graphicFrame>
      <xdr:nvGraphicFramePr>
        <xdr:cNvPr id="8" name="Chart 2"/>
        <xdr:cNvGraphicFramePr/>
      </xdr:nvGraphicFramePr>
      <xdr:xfrm>
        <a:off x="12170880" y="4381560"/>
        <a:ext cx="503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42</xdr:row>
      <xdr:rowOff>160560</xdr:rowOff>
    </xdr:from>
    <xdr:to>
      <xdr:col>16</xdr:col>
      <xdr:colOff>364320</xdr:colOff>
      <xdr:row>56</xdr:row>
      <xdr:rowOff>61560</xdr:rowOff>
    </xdr:to>
    <xdr:graphicFrame>
      <xdr:nvGraphicFramePr>
        <xdr:cNvPr id="9" name="Chart 3"/>
        <xdr:cNvGraphicFramePr/>
      </xdr:nvGraphicFramePr>
      <xdr:xfrm>
        <a:off x="12170880" y="8191440"/>
        <a:ext cx="647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2.xml.rels><?xml version="1.0" encoding="UTF-8"?>
<Relationships xmlns="http://schemas.openxmlformats.org/package/2006/relationships"><Relationship Id="rId1" Type="http://schemas.openxmlformats.org/officeDocument/2006/relationships/drawing" Target="../drawings/drawing3.xml"/>
</Relationships>
</file>

<file path=xl/worksheets/_rels/sheet13.xml.rels><?xml version="1.0" encoding="UTF-8"?>
<Relationships xmlns="http://schemas.openxmlformats.org/package/2006/relationships"><Relationship Id="rId1" Type="http://schemas.openxmlformats.org/officeDocument/2006/relationships/drawing" Target="../drawings/drawing4.xml"/>
</Relationships>
</file>

<file path=xl/worksheets/_rels/sheet14.xml.rels><?xml version="1.0" encoding="UTF-8"?>
<Relationships xmlns="http://schemas.openxmlformats.org/package/2006/relationships"><Relationship Id="rId1" Type="http://schemas.openxmlformats.org/officeDocument/2006/relationships/hyperlink" Target="https://aquahoy.com/life-cycle-assessment-integrated-multi-trophic-aquaculture/" TargetMode="External"/><Relationship Id="rId2" Type="http://schemas.openxmlformats.org/officeDocument/2006/relationships/hyperlink" Target="https://www.mdpi.com/2071-1050/8/12/1228" TargetMode="External"/><Relationship Id="rId3" Type="http://schemas.openxmlformats.org/officeDocument/2006/relationships/hyperlink" Target="https://www.globalseafood.org/advocate/nutrient-retention-efficiencies-in-integrated-multi-trophic-aquaculture/" TargetMode="External"/><Relationship Id="rId4" Type="http://schemas.openxmlformats.org/officeDocument/2006/relationships/hyperlink" Target="https://www.mispeces.com/en/news/Greek-Aquaculture-Life-Cycle-Assessment-Highlights-Key-Areas-for-Improvement-and-Opportunities/" TargetMode="External"/><Relationship Id="rId5" Type="http://schemas.openxmlformats.org/officeDocument/2006/relationships/hyperlink" Target="https://doaj.org/article/0c047700b22741bdb3ae6e5e47b07298" TargetMode="External"/><Relationship Id="rId6" Type="http://schemas.openxmlformats.org/officeDocument/2006/relationships/hyperlink" Target="https://easychair.org/publications/preprint/P5vQ/ope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t="s">
        <v>7</v>
      </c>
    </row>
    <row r="10" customFormat="false" ht="15" hidden="false" customHeight="false" outlineLevel="0" collapsed="false">
      <c r="A10" s="4" t="s">
        <v>8</v>
      </c>
    </row>
    <row r="11" customFormat="false" ht="15" hidden="false" customHeight="false" outlineLevel="0" collapsed="false">
      <c r="A11" s="4" t="s">
        <v>9</v>
      </c>
    </row>
    <row r="12" customFormat="false" ht="15" hidden="false" customHeight="false" outlineLevel="0" collapsed="false">
      <c r="A12" s="4" t="s">
        <v>10</v>
      </c>
    </row>
    <row r="13" customFormat="false" ht="15" hidden="false" customHeight="false" outlineLevel="0" collapsed="false">
      <c r="A13" s="4" t="s">
        <v>11</v>
      </c>
    </row>
    <row r="14" customFormat="false" ht="15" hidden="false" customHeight="false" outlineLevel="0" collapsed="false">
      <c r="A14" s="4" t="s">
        <v>12</v>
      </c>
    </row>
    <row r="15" customFormat="false" ht="15" hidden="false" customHeight="false" outlineLevel="0" collapsed="false">
      <c r="A15" s="4" t="s">
        <v>13</v>
      </c>
    </row>
    <row r="16" customFormat="false" ht="15" hidden="false" customHeight="false" outlineLevel="0" collapsed="false">
      <c r="A16" s="4" t="s">
        <v>14</v>
      </c>
    </row>
    <row r="17" customFormat="false" ht="15" hidden="false" customHeight="false" outlineLevel="0" collapsed="false">
      <c r="A17" s="4"/>
    </row>
    <row r="18" customFormat="false" ht="15" hidden="false" customHeight="false" outlineLevel="0" collapsed="false">
      <c r="A18" s="3" t="s">
        <v>15</v>
      </c>
    </row>
    <row r="19" customFormat="false" ht="15" hidden="false" customHeight="false" outlineLevel="0" collapsed="false">
      <c r="A19" s="4" t="s">
        <v>16</v>
      </c>
    </row>
    <row r="20" customFormat="false" ht="15" hidden="false" customHeight="false" outlineLevel="0" collapsed="false">
      <c r="A20" s="4"/>
    </row>
    <row r="21" customFormat="false" ht="15" hidden="false" customHeight="false" outlineLevel="0" collapsed="false">
      <c r="A21" s="3" t="s">
        <v>17</v>
      </c>
    </row>
    <row r="22" customFormat="false" ht="15" hidden="false" customHeight="false" outlineLevel="0" collapsed="false">
      <c r="A22" s="4" t="s">
        <v>18</v>
      </c>
    </row>
    <row r="23" customFormat="false" ht="15" hidden="false" customHeight="false" outlineLevel="0" collapsed="false">
      <c r="A23" s="4" t="s">
        <v>19</v>
      </c>
    </row>
    <row r="24" customFormat="false" ht="15" hidden="false" customHeight="false" outlineLevel="0" collapsed="false">
      <c r="A24" s="4" t="s">
        <v>20</v>
      </c>
    </row>
    <row r="25" customFormat="false" ht="15" hidden="false" customHeight="false" outlineLevel="0" collapsed="false">
      <c r="A25" s="4"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70"/>
    <col collapsed="false" customWidth="true" hidden="false" outlineLevel="0" max="3" min="3" style="0" width="60"/>
  </cols>
  <sheetData>
    <row r="1" customFormat="false" ht="17.35" hidden="false" customHeight="false" outlineLevel="0" collapsed="false">
      <c r="A1" s="1" t="s">
        <v>22</v>
      </c>
    </row>
    <row r="2" customFormat="false" ht="15" hidden="false" customHeight="false" outlineLevel="0" collapsed="false">
      <c r="A2" s="2" t="s">
        <v>1</v>
      </c>
    </row>
    <row r="4" customFormat="false" ht="15" hidden="false" customHeight="false" outlineLevel="0" collapsed="false">
      <c r="A4" s="5" t="s">
        <v>23</v>
      </c>
      <c r="B4" s="5" t="s">
        <v>24</v>
      </c>
      <c r="C4" s="5" t="s">
        <v>25</v>
      </c>
    </row>
    <row r="5" customFormat="false" ht="26.85" hidden="false" customHeight="false" outlineLevel="0" collapsed="false">
      <c r="A5" s="6" t="s">
        <v>26</v>
      </c>
      <c r="B5" s="7" t="s">
        <v>27</v>
      </c>
      <c r="C5" s="7" t="s">
        <v>28</v>
      </c>
    </row>
    <row r="6" customFormat="false" ht="15" hidden="false" customHeight="false" outlineLevel="0" collapsed="false">
      <c r="A6" s="6" t="s">
        <v>29</v>
      </c>
      <c r="B6" s="7" t="s">
        <v>30</v>
      </c>
      <c r="C6" s="7" t="s">
        <v>31</v>
      </c>
    </row>
    <row r="7" customFormat="false" ht="15" hidden="false" customHeight="false" outlineLevel="0" collapsed="false">
      <c r="A7" s="6" t="s">
        <v>32</v>
      </c>
      <c r="B7" s="7" t="s">
        <v>33</v>
      </c>
      <c r="C7" s="7" t="s">
        <v>34</v>
      </c>
    </row>
    <row r="8" customFormat="false" ht="15" hidden="false" customHeight="false" outlineLevel="0" collapsed="false">
      <c r="A8" s="6" t="s">
        <v>35</v>
      </c>
      <c r="B8" s="7" t="s">
        <v>36</v>
      </c>
      <c r="C8" s="7" t="s">
        <v>37</v>
      </c>
    </row>
    <row r="9" customFormat="false" ht="15" hidden="false" customHeight="false" outlineLevel="0" collapsed="false">
      <c r="A9" s="6" t="s">
        <v>38</v>
      </c>
      <c r="B9" s="7" t="s">
        <v>39</v>
      </c>
      <c r="C9" s="7" t="s">
        <v>40</v>
      </c>
    </row>
    <row r="10" customFormat="false" ht="15" hidden="false" customHeight="false" outlineLevel="0" collapsed="false">
      <c r="A10" s="6" t="s">
        <v>41</v>
      </c>
      <c r="B10" s="7" t="s">
        <v>42</v>
      </c>
      <c r="C10" s="7" t="s">
        <v>43</v>
      </c>
    </row>
    <row r="11" customFormat="false" ht="15" hidden="false" customHeight="false" outlineLevel="0" collapsed="false">
      <c r="A11" s="6" t="s">
        <v>44</v>
      </c>
      <c r="B11" s="7" t="s">
        <v>45</v>
      </c>
      <c r="C11" s="7" t="s">
        <v>46</v>
      </c>
    </row>
    <row r="12" customFormat="false" ht="26.85" hidden="false" customHeight="false" outlineLevel="0" collapsed="false">
      <c r="A12" s="6" t="s">
        <v>47</v>
      </c>
      <c r="B12" s="7" t="s">
        <v>48</v>
      </c>
      <c r="C12" s="7" t="s">
        <v>49</v>
      </c>
    </row>
    <row r="13" customFormat="false" ht="15" hidden="false" customHeight="false" outlineLevel="0" collapsed="false">
      <c r="A13" s="6" t="s">
        <v>50</v>
      </c>
      <c r="B13" s="7" t="s">
        <v>51</v>
      </c>
      <c r="C13" s="7" t="s">
        <v>52</v>
      </c>
    </row>
    <row r="14" customFormat="false" ht="15" hidden="false" customHeight="false" outlineLevel="0" collapsed="false">
      <c r="A14" s="6" t="s">
        <v>53</v>
      </c>
      <c r="B14" s="7" t="s">
        <v>54</v>
      </c>
      <c r="C14" s="7" t="s">
        <v>55</v>
      </c>
    </row>
    <row r="15" customFormat="false" ht="15" hidden="false" customHeight="false" outlineLevel="0" collapsed="false">
      <c r="A15" s="6" t="s">
        <v>56</v>
      </c>
      <c r="B15" s="7" t="s">
        <v>57</v>
      </c>
      <c r="C15" s="7" t="s">
        <v>58</v>
      </c>
    </row>
    <row r="16" customFormat="false" ht="15" hidden="false" customHeight="false" outlineLevel="0" collapsed="false">
      <c r="A16" s="6" t="s">
        <v>59</v>
      </c>
      <c r="B16" s="7" t="s">
        <v>60</v>
      </c>
      <c r="C16" s="7" t="s">
        <v>61</v>
      </c>
    </row>
    <row r="17" customFormat="false" ht="26.85" hidden="false" customHeight="false" outlineLevel="0" collapsed="false">
      <c r="A17" s="6" t="s">
        <v>62</v>
      </c>
      <c r="B17" s="7" t="s">
        <v>63</v>
      </c>
      <c r="C17" s="7" t="s">
        <v>64</v>
      </c>
    </row>
    <row r="18" customFormat="false" ht="26.85" hidden="false" customHeight="false" outlineLevel="0" collapsed="false">
      <c r="A18" s="6" t="s">
        <v>65</v>
      </c>
      <c r="B18" s="7" t="s">
        <v>66</v>
      </c>
      <c r="C18" s="7" t="s">
        <v>67</v>
      </c>
    </row>
    <row r="19" customFormat="false" ht="26.85" hidden="false" customHeight="false" outlineLevel="0" collapsed="false">
      <c r="A19" s="6" t="s">
        <v>68</v>
      </c>
      <c r="B19" s="7" t="s">
        <v>69</v>
      </c>
      <c r="C19" s="7" t="s">
        <v>70</v>
      </c>
    </row>
    <row r="20" customFormat="false" ht="15" hidden="false" customHeight="false" outlineLevel="0" collapsed="false">
      <c r="A20" s="6" t="s">
        <v>71</v>
      </c>
      <c r="B20" s="7" t="s">
        <v>72</v>
      </c>
      <c r="C20" s="7"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9" topLeftCell="B20" activePane="bottomRight" state="frozen"/>
      <selection pane="topLeft" activeCell="A1" activeCellId="0" sqref="A1"/>
      <selection pane="topRight" activeCell="B1" activeCellId="0" sqref="B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3"/>
    <col collapsed="false" customWidth="true" hidden="false" outlineLevel="0" max="3" min="3" style="0" width="8"/>
    <col collapsed="false" customWidth="true" hidden="false" outlineLevel="0" max="4" min="4" style="0" width="14"/>
    <col collapsed="false" customWidth="true" hidden="false" outlineLevel="0" max="5" min="5" style="0" width="24"/>
    <col collapsed="false" customWidth="true" hidden="false" outlineLevel="0" max="6" min="6" style="0" width="12"/>
    <col collapsed="false" customWidth="true" hidden="false" outlineLevel="0" max="7" min="7" style="0" width="36"/>
    <col collapsed="false" customWidth="true" hidden="false" outlineLevel="0" max="8" min="8" style="0" width="24"/>
    <col collapsed="false" customWidth="true" hidden="false" outlineLevel="0" max="9" min="9" style="0" width="18"/>
    <col collapsed="false" customWidth="true" hidden="false" outlineLevel="0" max="10" min="10" style="0" width="10"/>
    <col collapsed="false" customWidth="true" hidden="false" outlineLevel="0" max="11" min="11" style="0" width="12"/>
    <col collapsed="false" customWidth="true" hidden="false" outlineLevel="0" max="12" min="12" style="0" width="10"/>
    <col collapsed="false" customWidth="true" hidden="false" outlineLevel="0" max="13" min="13" style="0" width="12"/>
    <col collapsed="false" customWidth="true" hidden="false" outlineLevel="0" max="14" min="14" style="0" width="13"/>
    <col collapsed="false" customWidth="true" hidden="false" outlineLevel="0" max="15" min="15" style="0" width="12"/>
    <col collapsed="false" customWidth="true" hidden="false" outlineLevel="0" max="16" min="16" style="0" width="36"/>
  </cols>
  <sheetData>
    <row r="1" customFormat="false" ht="17.35" hidden="false" customHeight="false" outlineLevel="0" collapsed="false">
      <c r="A1" s="1" t="s">
        <v>74</v>
      </c>
    </row>
    <row r="2" customFormat="false" ht="15" hidden="false" customHeight="false" outlineLevel="0" collapsed="false">
      <c r="A2" s="2" t="s">
        <v>1</v>
      </c>
    </row>
    <row r="4" customFormat="false" ht="15" hidden="false" customHeight="false" outlineLevel="0" collapsed="false">
      <c r="A4" s="8" t="s">
        <v>75</v>
      </c>
      <c r="B4" s="9"/>
      <c r="C4" s="9"/>
      <c r="D4" s="9"/>
    </row>
    <row r="5" customFormat="false" ht="15" hidden="false" customHeight="false" outlineLevel="0" collapsed="false">
      <c r="A5" s="10" t="s">
        <v>76</v>
      </c>
      <c r="B5" s="11" t="s">
        <v>77</v>
      </c>
    </row>
    <row r="6" customFormat="false" ht="15" hidden="false" customHeight="false" outlineLevel="0" collapsed="false">
      <c r="A6" s="10" t="s">
        <v>78</v>
      </c>
      <c r="B6" s="11" t="s">
        <v>79</v>
      </c>
    </row>
    <row r="7" customFormat="false" ht="15" hidden="false" customHeight="false" outlineLevel="0" collapsed="false">
      <c r="A7" s="10" t="s">
        <v>80</v>
      </c>
      <c r="B7" s="11" t="s">
        <v>81</v>
      </c>
    </row>
    <row r="8" customFormat="false" ht="15" hidden="false" customHeight="false" outlineLevel="0" collapsed="false">
      <c r="A8" s="10" t="s">
        <v>82</v>
      </c>
      <c r="B8" s="11" t="s">
        <v>83</v>
      </c>
    </row>
    <row r="9" customFormat="false" ht="15" hidden="false" customHeight="false" outlineLevel="0" collapsed="false">
      <c r="A9" s="10" t="s">
        <v>84</v>
      </c>
      <c r="B9" s="11" t="s">
        <v>85</v>
      </c>
    </row>
    <row r="10" customFormat="false" ht="15" hidden="false" customHeight="false" outlineLevel="0" collapsed="false">
      <c r="A10" s="10" t="s">
        <v>29</v>
      </c>
      <c r="B10" s="11" t="s">
        <v>86</v>
      </c>
    </row>
    <row r="11" customFormat="false" ht="15" hidden="false" customHeight="false" outlineLevel="0" collapsed="false">
      <c r="A11" s="10" t="s">
        <v>87</v>
      </c>
      <c r="B11" s="11" t="s">
        <v>88</v>
      </c>
    </row>
    <row r="12" customFormat="false" ht="15" hidden="false" customHeight="false" outlineLevel="0" collapsed="false">
      <c r="A12" s="10" t="s">
        <v>89</v>
      </c>
      <c r="B12" s="11" t="s">
        <v>90</v>
      </c>
    </row>
    <row r="13" customFormat="false" ht="15" hidden="false" customHeight="false" outlineLevel="0" collapsed="false">
      <c r="A13" s="10" t="s">
        <v>91</v>
      </c>
      <c r="B13" s="11" t="s">
        <v>92</v>
      </c>
    </row>
    <row r="14" customFormat="false" ht="15" hidden="false" customHeight="false" outlineLevel="0" collapsed="false">
      <c r="A14" s="10" t="s">
        <v>44</v>
      </c>
      <c r="B14" s="11" t="s">
        <v>93</v>
      </c>
    </row>
    <row r="15" customFormat="false" ht="15" hidden="false" customHeight="false" outlineLevel="0" collapsed="false">
      <c r="A15" s="10" t="s">
        <v>41</v>
      </c>
      <c r="B15" s="11" t="s">
        <v>94</v>
      </c>
    </row>
    <row r="16" customFormat="false" ht="15" hidden="false" customHeight="false" outlineLevel="0" collapsed="false">
      <c r="A16" s="10" t="s">
        <v>95</v>
      </c>
      <c r="B16" s="11" t="s">
        <v>96</v>
      </c>
    </row>
    <row r="18" customFormat="false" ht="15" hidden="false" customHeight="false" outlineLevel="0" collapsed="false">
      <c r="A18" s="8" t="s">
        <v>97</v>
      </c>
      <c r="B18" s="9"/>
      <c r="C18" s="9"/>
      <c r="D18" s="9"/>
      <c r="E18" s="9"/>
      <c r="F18" s="9"/>
      <c r="G18" s="9"/>
      <c r="H18" s="9"/>
      <c r="I18" s="9"/>
      <c r="J18" s="9"/>
      <c r="K18" s="9"/>
      <c r="L18" s="9"/>
      <c r="M18" s="9"/>
      <c r="N18" s="9"/>
      <c r="O18" s="9"/>
      <c r="P18" s="9"/>
    </row>
    <row r="19" customFormat="false" ht="39.55" hidden="false" customHeight="false" outlineLevel="0" collapsed="false">
      <c r="A19" s="5" t="s">
        <v>98</v>
      </c>
      <c r="B19" s="5" t="s">
        <v>99</v>
      </c>
      <c r="C19" s="5" t="s">
        <v>100</v>
      </c>
      <c r="D19" s="5" t="s">
        <v>101</v>
      </c>
      <c r="E19" s="5" t="s">
        <v>102</v>
      </c>
      <c r="F19" s="5" t="s">
        <v>103</v>
      </c>
      <c r="G19" s="5" t="s">
        <v>104</v>
      </c>
      <c r="H19" s="5" t="s">
        <v>105</v>
      </c>
      <c r="I19" s="5" t="s">
        <v>106</v>
      </c>
      <c r="J19" s="5" t="s">
        <v>107</v>
      </c>
      <c r="K19" s="5" t="s">
        <v>108</v>
      </c>
      <c r="L19" s="5" t="s">
        <v>109</v>
      </c>
      <c r="M19" s="5" t="s">
        <v>110</v>
      </c>
      <c r="N19" s="5" t="s">
        <v>111</v>
      </c>
      <c r="O19" s="5" t="s">
        <v>112</v>
      </c>
      <c r="P19" s="5" t="s">
        <v>113</v>
      </c>
    </row>
    <row r="20" customFormat="false" ht="15" hidden="false" customHeight="false" outlineLevel="0" collapsed="false">
      <c r="A20" s="11" t="s">
        <v>114</v>
      </c>
      <c r="B20" s="11" t="s">
        <v>115</v>
      </c>
      <c r="C20" s="11" t="s">
        <v>116</v>
      </c>
      <c r="D20" s="12" t="n">
        <f aca="false">LCI!D6</f>
        <v>60000</v>
      </c>
      <c r="E20" s="11" t="s">
        <v>117</v>
      </c>
      <c r="F20" s="11" t="s">
        <v>118</v>
      </c>
      <c r="G20" s="11" t="s">
        <v>119</v>
      </c>
      <c r="H20" s="11" t="s">
        <v>120</v>
      </c>
      <c r="I20" s="11" t="s">
        <v>120</v>
      </c>
      <c r="J20" s="13" t="n">
        <v>4</v>
      </c>
      <c r="K20" s="13" t="n">
        <v>3</v>
      </c>
      <c r="L20" s="13" t="n">
        <v>2</v>
      </c>
      <c r="M20" s="13" t="n">
        <v>3</v>
      </c>
      <c r="N20" s="13" t="n">
        <v>3</v>
      </c>
      <c r="O20" s="14" t="n">
        <f aca="false">AVERAGE(J20:N20)</f>
        <v>3</v>
      </c>
      <c r="P20" s="2" t="s">
        <v>121</v>
      </c>
    </row>
    <row r="21" customFormat="false" ht="15" hidden="false" customHeight="false" outlineLevel="0" collapsed="false">
      <c r="A21" s="11" t="s">
        <v>122</v>
      </c>
      <c r="B21" s="11" t="s">
        <v>123</v>
      </c>
      <c r="C21" s="11" t="s">
        <v>116</v>
      </c>
      <c r="D21" s="12" t="n">
        <f aca="false">LCI!D11</f>
        <v>15000</v>
      </c>
      <c r="E21" s="11" t="s">
        <v>124</v>
      </c>
      <c r="F21" s="11" t="s">
        <v>125</v>
      </c>
      <c r="G21" s="11" t="s">
        <v>126</v>
      </c>
      <c r="H21" s="11" t="s">
        <v>127</v>
      </c>
      <c r="I21" s="11" t="s">
        <v>128</v>
      </c>
      <c r="J21" s="13" t="n">
        <v>3</v>
      </c>
      <c r="K21" s="13" t="n">
        <v>3</v>
      </c>
      <c r="L21" s="13" t="n">
        <v>3</v>
      </c>
      <c r="M21" s="13" t="n">
        <v>3</v>
      </c>
      <c r="N21" s="13" t="n">
        <v>3</v>
      </c>
      <c r="O21" s="14" t="n">
        <f aca="false">AVERAGE(J21:N21)</f>
        <v>3</v>
      </c>
      <c r="P21" s="2" t="s">
        <v>129</v>
      </c>
    </row>
    <row r="22" customFormat="false" ht="15" hidden="false" customHeight="false" outlineLevel="0" collapsed="false">
      <c r="A22" s="11" t="s">
        <v>130</v>
      </c>
      <c r="B22" s="11" t="s">
        <v>123</v>
      </c>
      <c r="C22" s="11" t="s">
        <v>116</v>
      </c>
      <c r="D22" s="12" t="n">
        <f aca="false">LCI!D12</f>
        <v>6000</v>
      </c>
      <c r="E22" s="11" t="s">
        <v>124</v>
      </c>
      <c r="F22" s="11" t="s">
        <v>125</v>
      </c>
      <c r="G22" s="11" t="s">
        <v>131</v>
      </c>
      <c r="H22" s="11" t="s">
        <v>132</v>
      </c>
      <c r="I22" s="11" t="s">
        <v>128</v>
      </c>
      <c r="J22" s="13" t="n">
        <v>3</v>
      </c>
      <c r="K22" s="13" t="n">
        <v>3</v>
      </c>
      <c r="L22" s="13" t="n">
        <v>3</v>
      </c>
      <c r="M22" s="13" t="n">
        <v>3</v>
      </c>
      <c r="N22" s="13" t="n">
        <v>3</v>
      </c>
      <c r="O22" s="14" t="n">
        <f aca="false">AVERAGE(J22:N22)</f>
        <v>3</v>
      </c>
      <c r="P22" s="2" t="s">
        <v>133</v>
      </c>
    </row>
    <row r="23" customFormat="false" ht="15" hidden="false" customHeight="false" outlineLevel="0" collapsed="false">
      <c r="A23" s="11" t="s">
        <v>134</v>
      </c>
      <c r="B23" s="11" t="s">
        <v>123</v>
      </c>
      <c r="C23" s="11" t="s">
        <v>116</v>
      </c>
      <c r="D23" s="12" t="n">
        <f aca="false">LCI!D13</f>
        <v>18000</v>
      </c>
      <c r="E23" s="11" t="s">
        <v>124</v>
      </c>
      <c r="F23" s="11" t="s">
        <v>125</v>
      </c>
      <c r="G23" s="11" t="s">
        <v>135</v>
      </c>
      <c r="H23" s="11" t="s">
        <v>136</v>
      </c>
      <c r="I23" s="11" t="s">
        <v>128</v>
      </c>
      <c r="J23" s="13" t="n">
        <v>3</v>
      </c>
      <c r="K23" s="13" t="n">
        <v>3</v>
      </c>
      <c r="L23" s="13" t="n">
        <v>3</v>
      </c>
      <c r="M23" s="13" t="n">
        <v>3</v>
      </c>
      <c r="N23" s="13" t="n">
        <v>3</v>
      </c>
      <c r="O23" s="14" t="n">
        <f aca="false">AVERAGE(J23:N23)</f>
        <v>3</v>
      </c>
      <c r="P23" s="2" t="s">
        <v>137</v>
      </c>
    </row>
    <row r="24" customFormat="false" ht="15" hidden="false" customHeight="false" outlineLevel="0" collapsed="false">
      <c r="A24" s="11" t="s">
        <v>138</v>
      </c>
      <c r="B24" s="11" t="s">
        <v>123</v>
      </c>
      <c r="C24" s="11" t="s">
        <v>116</v>
      </c>
      <c r="D24" s="12" t="n">
        <f aca="false">LCI!D14</f>
        <v>15000</v>
      </c>
      <c r="E24" s="11" t="s">
        <v>124</v>
      </c>
      <c r="F24" s="11" t="s">
        <v>125</v>
      </c>
      <c r="G24" s="11" t="s">
        <v>139</v>
      </c>
      <c r="H24" s="11" t="s">
        <v>132</v>
      </c>
      <c r="I24" s="11" t="s">
        <v>128</v>
      </c>
      <c r="J24" s="13" t="n">
        <v>3</v>
      </c>
      <c r="K24" s="13" t="n">
        <v>3</v>
      </c>
      <c r="L24" s="13" t="n">
        <v>3</v>
      </c>
      <c r="M24" s="13" t="n">
        <v>3</v>
      </c>
      <c r="N24" s="13" t="n">
        <v>3</v>
      </c>
      <c r="O24" s="14" t="n">
        <f aca="false">AVERAGE(J24:N24)</f>
        <v>3</v>
      </c>
      <c r="P24" s="2" t="s">
        <v>129</v>
      </c>
    </row>
    <row r="25" customFormat="false" ht="15" hidden="false" customHeight="false" outlineLevel="0" collapsed="false">
      <c r="A25" s="11" t="s">
        <v>140</v>
      </c>
      <c r="B25" s="11" t="s">
        <v>123</v>
      </c>
      <c r="C25" s="11" t="s">
        <v>116</v>
      </c>
      <c r="D25" s="12" t="n">
        <f aca="false">LCI!D15</f>
        <v>6000</v>
      </c>
      <c r="E25" s="11" t="s">
        <v>124</v>
      </c>
      <c r="F25" s="11" t="s">
        <v>125</v>
      </c>
      <c r="G25" s="11" t="s">
        <v>141</v>
      </c>
      <c r="H25" s="11" t="s">
        <v>142</v>
      </c>
      <c r="I25" s="11" t="s">
        <v>128</v>
      </c>
      <c r="J25" s="13" t="n">
        <v>3</v>
      </c>
      <c r="K25" s="13" t="n">
        <v>3</v>
      </c>
      <c r="L25" s="13" t="n">
        <v>3</v>
      </c>
      <c r="M25" s="13" t="n">
        <v>4</v>
      </c>
      <c r="N25" s="13" t="n">
        <v>3</v>
      </c>
      <c r="O25" s="14" t="n">
        <f aca="false">AVERAGE(J25:N25)</f>
        <v>3.2</v>
      </c>
      <c r="P25" s="2" t="s">
        <v>143</v>
      </c>
    </row>
    <row r="26" customFormat="false" ht="15" hidden="false" customHeight="false" outlineLevel="0" collapsed="false">
      <c r="A26" s="11" t="s">
        <v>144</v>
      </c>
      <c r="B26" s="11" t="s">
        <v>123</v>
      </c>
      <c r="C26" s="11" t="s">
        <v>145</v>
      </c>
      <c r="D26" s="12" t="n">
        <f aca="false">LCI!D16</f>
        <v>120000</v>
      </c>
      <c r="E26" s="11" t="s">
        <v>146</v>
      </c>
      <c r="F26" s="11" t="s">
        <v>118</v>
      </c>
      <c r="G26" s="11" t="s">
        <v>147</v>
      </c>
      <c r="H26" s="11" t="s">
        <v>148</v>
      </c>
      <c r="I26" s="11" t="s">
        <v>128</v>
      </c>
      <c r="J26" s="13" t="n">
        <v>4</v>
      </c>
      <c r="K26" s="13" t="n">
        <v>3</v>
      </c>
      <c r="L26" s="13" t="n">
        <v>2</v>
      </c>
      <c r="M26" s="13" t="n">
        <v>1</v>
      </c>
      <c r="N26" s="13" t="n">
        <v>2</v>
      </c>
      <c r="O26" s="14" t="n">
        <f aca="false">AVERAGE(J26:N26)</f>
        <v>2.4</v>
      </c>
      <c r="P26" s="2" t="s">
        <v>149</v>
      </c>
    </row>
    <row r="27" customFormat="false" ht="15" hidden="false" customHeight="false" outlineLevel="0" collapsed="false">
      <c r="A27" s="11" t="s">
        <v>56</v>
      </c>
      <c r="B27" s="11" t="s">
        <v>123</v>
      </c>
      <c r="C27" s="11" t="s">
        <v>116</v>
      </c>
      <c r="D27" s="12" t="n">
        <f aca="false">LCI!D17</f>
        <v>3360</v>
      </c>
      <c r="E27" s="11" t="s">
        <v>150</v>
      </c>
      <c r="F27" s="11" t="s">
        <v>125</v>
      </c>
      <c r="G27" s="11" t="s">
        <v>151</v>
      </c>
      <c r="H27" s="11" t="s">
        <v>152</v>
      </c>
      <c r="I27" s="11" t="s">
        <v>128</v>
      </c>
      <c r="J27" s="13" t="n">
        <v>4</v>
      </c>
      <c r="K27" s="13" t="n">
        <v>3</v>
      </c>
      <c r="L27" s="13" t="n">
        <v>2</v>
      </c>
      <c r="M27" s="13" t="n">
        <v>2</v>
      </c>
      <c r="N27" s="13" t="n">
        <v>2</v>
      </c>
      <c r="O27" s="14" t="n">
        <f aca="false">AVERAGE(J27:N27)</f>
        <v>2.6</v>
      </c>
      <c r="P27" s="2" t="s">
        <v>153</v>
      </c>
    </row>
    <row r="28" customFormat="false" ht="15" hidden="false" customHeight="false" outlineLevel="0" collapsed="false">
      <c r="A28" s="11" t="s">
        <v>154</v>
      </c>
      <c r="B28" s="11" t="s">
        <v>123</v>
      </c>
      <c r="C28" s="11" t="s">
        <v>116</v>
      </c>
      <c r="D28" s="12" t="n">
        <f aca="false">LCI!D18</f>
        <v>800</v>
      </c>
      <c r="E28" s="11" t="s">
        <v>155</v>
      </c>
      <c r="F28" s="11" t="s">
        <v>118</v>
      </c>
      <c r="G28" s="11" t="s">
        <v>156</v>
      </c>
      <c r="H28" s="11" t="s">
        <v>157</v>
      </c>
      <c r="I28" s="11" t="s">
        <v>128</v>
      </c>
      <c r="J28" s="13" t="n">
        <v>4</v>
      </c>
      <c r="K28" s="13" t="n">
        <v>3</v>
      </c>
      <c r="L28" s="13" t="n">
        <v>3</v>
      </c>
      <c r="M28" s="13" t="n">
        <v>3</v>
      </c>
      <c r="N28" s="13" t="n">
        <v>3</v>
      </c>
      <c r="O28" s="14" t="n">
        <f aca="false">AVERAGE(J28:N28)</f>
        <v>3.2</v>
      </c>
      <c r="P28" s="2" t="s">
        <v>158</v>
      </c>
    </row>
    <row r="29" customFormat="false" ht="15" hidden="false" customHeight="false" outlineLevel="0" collapsed="false">
      <c r="A29" s="11" t="s">
        <v>159</v>
      </c>
      <c r="B29" s="11" t="s">
        <v>123</v>
      </c>
      <c r="C29" s="11" t="s">
        <v>160</v>
      </c>
      <c r="D29" s="12" t="n">
        <f aca="false">LCI!D19</f>
        <v>34500</v>
      </c>
      <c r="E29" s="11" t="s">
        <v>161</v>
      </c>
      <c r="F29" s="11" t="s">
        <v>125</v>
      </c>
      <c r="G29" s="11" t="s">
        <v>162</v>
      </c>
      <c r="H29" s="11" t="s">
        <v>163</v>
      </c>
      <c r="I29" s="11" t="s">
        <v>128</v>
      </c>
      <c r="J29" s="13" t="n">
        <v>3</v>
      </c>
      <c r="K29" s="13" t="n">
        <v>3</v>
      </c>
      <c r="L29" s="13" t="n">
        <v>2</v>
      </c>
      <c r="M29" s="13" t="n">
        <v>3</v>
      </c>
      <c r="N29" s="13" t="n">
        <v>2</v>
      </c>
      <c r="O29" s="14" t="n">
        <f aca="false">AVERAGE(J29:N29)</f>
        <v>2.6</v>
      </c>
      <c r="P29" s="2" t="s">
        <v>164</v>
      </c>
    </row>
    <row r="30" customFormat="false" ht="15" hidden="false" customHeight="false" outlineLevel="0" collapsed="false">
      <c r="A30" s="11" t="s">
        <v>165</v>
      </c>
      <c r="B30" s="11" t="s">
        <v>166</v>
      </c>
      <c r="C30" s="11" t="s">
        <v>116</v>
      </c>
      <c r="D30" s="12" t="n">
        <f aca="false">LCI!D21</f>
        <v>40000</v>
      </c>
      <c r="E30" s="11" t="s">
        <v>167</v>
      </c>
      <c r="F30" s="11" t="s">
        <v>118</v>
      </c>
      <c r="G30" s="11" t="s">
        <v>168</v>
      </c>
      <c r="H30" s="11" t="s">
        <v>148</v>
      </c>
      <c r="I30" s="11" t="s">
        <v>120</v>
      </c>
      <c r="J30" s="13" t="n">
        <v>3</v>
      </c>
      <c r="K30" s="13" t="n">
        <v>2</v>
      </c>
      <c r="L30" s="13" t="n">
        <v>2</v>
      </c>
      <c r="M30" s="13" t="n">
        <v>1</v>
      </c>
      <c r="N30" s="13" t="n">
        <v>2</v>
      </c>
      <c r="O30" s="14" t="n">
        <f aca="false">AVERAGE(J30:N30)</f>
        <v>2</v>
      </c>
      <c r="P30" s="2" t="s">
        <v>32</v>
      </c>
    </row>
    <row r="31" customFormat="false" ht="15" hidden="false" customHeight="false" outlineLevel="0" collapsed="false">
      <c r="A31" s="11" t="s">
        <v>169</v>
      </c>
      <c r="B31" s="11" t="s">
        <v>170</v>
      </c>
      <c r="C31" s="11" t="s">
        <v>116</v>
      </c>
      <c r="D31" s="12" t="n">
        <f aca="false">LCI!D22</f>
        <v>50000</v>
      </c>
      <c r="E31" s="11" t="s">
        <v>167</v>
      </c>
      <c r="F31" s="11" t="s">
        <v>118</v>
      </c>
      <c r="G31" s="11" t="s">
        <v>120</v>
      </c>
      <c r="H31" s="11" t="s">
        <v>148</v>
      </c>
      <c r="I31" s="11" t="s">
        <v>120</v>
      </c>
      <c r="J31" s="13" t="n">
        <v>4</v>
      </c>
      <c r="K31" s="13" t="n">
        <v>3</v>
      </c>
      <c r="L31" s="13" t="n">
        <v>2</v>
      </c>
      <c r="M31" s="13" t="n">
        <v>1</v>
      </c>
      <c r="N31" s="13" t="n">
        <v>2</v>
      </c>
      <c r="O31" s="14" t="n">
        <f aca="false">AVERAGE(J31:N31)</f>
        <v>2.4</v>
      </c>
      <c r="P31" s="2" t="s">
        <v>171</v>
      </c>
    </row>
    <row r="32" customFormat="false" ht="15" hidden="false" customHeight="false" outlineLevel="0" collapsed="false">
      <c r="A32" s="11" t="s">
        <v>172</v>
      </c>
      <c r="B32" s="11" t="s">
        <v>170</v>
      </c>
      <c r="C32" s="11" t="s">
        <v>116</v>
      </c>
      <c r="D32" s="12" t="n">
        <f aca="false">LCI!D23</f>
        <v>25000</v>
      </c>
      <c r="E32" s="11" t="s">
        <v>167</v>
      </c>
      <c r="F32" s="11" t="s">
        <v>118</v>
      </c>
      <c r="G32" s="11" t="s">
        <v>120</v>
      </c>
      <c r="H32" s="11" t="s">
        <v>148</v>
      </c>
      <c r="I32" s="11" t="s">
        <v>120</v>
      </c>
      <c r="J32" s="13" t="n">
        <v>4</v>
      </c>
      <c r="K32" s="13" t="n">
        <v>3</v>
      </c>
      <c r="L32" s="13" t="n">
        <v>2</v>
      </c>
      <c r="M32" s="13" t="n">
        <v>1</v>
      </c>
      <c r="N32" s="13" t="n">
        <v>2</v>
      </c>
      <c r="O32" s="14" t="n">
        <f aca="false">AVERAGE(J32:N32)</f>
        <v>2.4</v>
      </c>
      <c r="P32" s="2" t="s">
        <v>173</v>
      </c>
    </row>
    <row r="33" customFormat="false" ht="15" hidden="false" customHeight="false" outlineLevel="0" collapsed="false">
      <c r="A33" s="11" t="s">
        <v>174</v>
      </c>
      <c r="B33" s="11" t="s">
        <v>175</v>
      </c>
      <c r="C33" s="11" t="s">
        <v>116</v>
      </c>
      <c r="D33" s="12" t="n">
        <f aca="false">LCI!D26</f>
        <v>2450</v>
      </c>
      <c r="E33" s="11" t="s">
        <v>176</v>
      </c>
      <c r="F33" s="11" t="s">
        <v>125</v>
      </c>
      <c r="G33" s="11" t="s">
        <v>177</v>
      </c>
      <c r="H33" s="11" t="s">
        <v>148</v>
      </c>
      <c r="I33" s="11" t="s">
        <v>178</v>
      </c>
      <c r="J33" s="13" t="n">
        <v>3</v>
      </c>
      <c r="K33" s="13" t="n">
        <v>3</v>
      </c>
      <c r="L33" s="13" t="n">
        <v>2</v>
      </c>
      <c r="M33" s="13" t="n">
        <v>2</v>
      </c>
      <c r="N33" s="13" t="n">
        <v>3</v>
      </c>
      <c r="O33" s="14" t="n">
        <f aca="false">AVERAGE(J33:N33)</f>
        <v>2.6</v>
      </c>
      <c r="P33" s="2" t="s">
        <v>179</v>
      </c>
    </row>
    <row r="34" customFormat="false" ht="15" hidden="false" customHeight="false" outlineLevel="0" collapsed="false">
      <c r="A34" s="11" t="s">
        <v>180</v>
      </c>
      <c r="B34" s="11" t="s">
        <v>175</v>
      </c>
      <c r="C34" s="11" t="s">
        <v>116</v>
      </c>
      <c r="D34" s="12" t="n">
        <f aca="false">LCI!D27</f>
        <v>465</v>
      </c>
      <c r="E34" s="11" t="s">
        <v>176</v>
      </c>
      <c r="F34" s="11" t="s">
        <v>125</v>
      </c>
      <c r="G34" s="11" t="s">
        <v>177</v>
      </c>
      <c r="H34" s="11" t="s">
        <v>148</v>
      </c>
      <c r="I34" s="11" t="s">
        <v>178</v>
      </c>
      <c r="J34" s="13" t="n">
        <v>3</v>
      </c>
      <c r="K34" s="13" t="n">
        <v>3</v>
      </c>
      <c r="L34" s="13" t="n">
        <v>2</v>
      </c>
      <c r="M34" s="13" t="n">
        <v>2</v>
      </c>
      <c r="N34" s="13" t="n">
        <v>3</v>
      </c>
      <c r="O34" s="14" t="n">
        <f aca="false">AVERAGE(J34:N34)</f>
        <v>2.6</v>
      </c>
      <c r="P34" s="2" t="s">
        <v>181</v>
      </c>
    </row>
    <row r="35" customFormat="false" ht="15" hidden="false" customHeight="false" outlineLevel="0" collapsed="false">
      <c r="A35" s="11" t="s">
        <v>182</v>
      </c>
      <c r="B35" s="11" t="s">
        <v>175</v>
      </c>
      <c r="C35" s="11" t="s">
        <v>116</v>
      </c>
      <c r="D35" s="12" t="n">
        <f aca="false">LCI!D28</f>
        <v>10617.6</v>
      </c>
      <c r="E35" s="11" t="s">
        <v>183</v>
      </c>
      <c r="F35" s="11" t="s">
        <v>125</v>
      </c>
      <c r="G35" s="11" t="s">
        <v>184</v>
      </c>
      <c r="H35" s="11" t="s">
        <v>148</v>
      </c>
      <c r="I35" s="11" t="s">
        <v>185</v>
      </c>
      <c r="J35" s="13" t="n">
        <v>2</v>
      </c>
      <c r="K35" s="13" t="n">
        <v>2</v>
      </c>
      <c r="L35" s="13" t="n">
        <v>1</v>
      </c>
      <c r="M35" s="13" t="n">
        <v>1</v>
      </c>
      <c r="N35" s="13" t="n">
        <v>2</v>
      </c>
      <c r="O35" s="14" t="n">
        <f aca="false">AVERAGE(J35:N35)</f>
        <v>1.6</v>
      </c>
      <c r="P35" s="2" t="s">
        <v>186</v>
      </c>
    </row>
    <row r="36" customFormat="false" ht="15" hidden="false" customHeight="false" outlineLevel="0" collapsed="false">
      <c r="A36" s="11" t="s">
        <v>187</v>
      </c>
      <c r="B36" s="11" t="s">
        <v>188</v>
      </c>
      <c r="C36" s="11" t="s">
        <v>189</v>
      </c>
      <c r="D36" s="12" t="n">
        <f aca="false">LCI!D8</f>
        <v>30000</v>
      </c>
      <c r="E36" s="11" t="s">
        <v>190</v>
      </c>
      <c r="F36" s="11" t="s">
        <v>118</v>
      </c>
      <c r="G36" s="11" t="s">
        <v>191</v>
      </c>
      <c r="H36" s="11" t="s">
        <v>120</v>
      </c>
      <c r="I36" s="11" t="s">
        <v>120</v>
      </c>
      <c r="J36" s="13" t="n">
        <v>4</v>
      </c>
      <c r="K36" s="13" t="n">
        <v>4</v>
      </c>
      <c r="L36" s="13" t="n">
        <v>3</v>
      </c>
      <c r="M36" s="13" t="n">
        <v>3</v>
      </c>
      <c r="N36" s="13" t="n">
        <v>3</v>
      </c>
      <c r="O36" s="14" t="n">
        <f aca="false">AVERAGE(J36:N36)</f>
        <v>3.4</v>
      </c>
      <c r="P36" s="2" t="s">
        <v>192</v>
      </c>
    </row>
    <row r="37" customFormat="false" ht="15" hidden="false" customHeight="false" outlineLevel="0" collapsed="false">
      <c r="A37" s="11" t="s">
        <v>193</v>
      </c>
      <c r="B37" s="11" t="s">
        <v>188</v>
      </c>
      <c r="C37" s="11" t="s">
        <v>116</v>
      </c>
      <c r="D37" s="12" t="n">
        <f aca="false">LCI!D9</f>
        <v>2000</v>
      </c>
      <c r="E37" s="11" t="s">
        <v>194</v>
      </c>
      <c r="F37" s="11" t="s">
        <v>118</v>
      </c>
      <c r="G37" s="11" t="s">
        <v>191</v>
      </c>
      <c r="H37" s="11" t="s">
        <v>120</v>
      </c>
      <c r="I37" s="11" t="s">
        <v>120</v>
      </c>
      <c r="J37" s="13" t="n">
        <v>4</v>
      </c>
      <c r="K37" s="13" t="n">
        <v>4</v>
      </c>
      <c r="L37" s="13" t="n">
        <v>3</v>
      </c>
      <c r="M37" s="13" t="n">
        <v>3</v>
      </c>
      <c r="N37" s="13" t="n">
        <v>3</v>
      </c>
      <c r="O37" s="14" t="n">
        <f aca="false">AVERAGE(J37:N37)</f>
        <v>3.4</v>
      </c>
      <c r="P37" s="2" t="s">
        <v>195</v>
      </c>
    </row>
    <row r="39" customFormat="false" ht="15" hidden="false" customHeight="false" outlineLevel="0" collapsed="false">
      <c r="A39" s="2" t="s">
        <v>196</v>
      </c>
    </row>
    <row r="40" customFormat="false" ht="15" hidden="false" customHeight="false" outlineLevel="0" collapsed="false">
      <c r="A40" s="2" t="s">
        <v>197</v>
      </c>
    </row>
    <row r="41" customFormat="false" ht="15" hidden="false" customHeight="false" outlineLevel="0" collapsed="false">
      <c r="A41" s="2" t="s">
        <v>198</v>
      </c>
    </row>
  </sheetData>
  <conditionalFormatting sqref="O20:O37">
    <cfRule type="expression" priority="2" aboveAverage="0" equalAverage="0" bottom="0" percent="0" rank="0" text="" dxfId="0">
      <formula>O20&lt;=2.5</formula>
    </cfRule>
    <cfRule type="expression" priority="3" aboveAverage="0" equalAverage="0" bottom="0" percent="0" rank="0" text="" dxfId="1">
      <formula>O20&gt;=3.5</formula>
    </cfRule>
    <cfRule type="expression" priority="4" aboveAverage="0" equalAverage="0" bottom="0" percent="0" rank="0" text="" dxfId="2">
      <formula>AND(O20&gt;2.5,O20&lt;3.5)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2"/>
    <col collapsed="false" customWidth="true" hidden="false" outlineLevel="0" max="3" min="3" style="0" width="18"/>
    <col collapsed="false" customWidth="true" hidden="false" outlineLevel="0" max="4" min="4" style="0" width="30"/>
    <col collapsed="false" customWidth="true" hidden="false" outlineLevel="0" max="5" min="5" style="0" width="110"/>
  </cols>
  <sheetData>
    <row r="1" customFormat="false" ht="17.35" hidden="false" customHeight="false" outlineLevel="0" collapsed="false">
      <c r="A1" s="1" t="s">
        <v>199</v>
      </c>
    </row>
    <row r="2" customFormat="false" ht="15" hidden="false" customHeight="false" outlineLevel="0" collapsed="false">
      <c r="A2" s="2" t="s">
        <v>1</v>
      </c>
    </row>
    <row r="4" customFormat="false" ht="15" hidden="false" customHeight="false" outlineLevel="0" collapsed="false">
      <c r="A4" s="5" t="s">
        <v>200</v>
      </c>
      <c r="B4" s="5" t="s">
        <v>201</v>
      </c>
      <c r="C4" s="5" t="s">
        <v>100</v>
      </c>
      <c r="D4" s="5" t="s">
        <v>202</v>
      </c>
      <c r="E4" s="15" t="s">
        <v>203</v>
      </c>
    </row>
    <row r="5" customFormat="false" ht="15" hidden="false" customHeight="false" outlineLevel="0" collapsed="false">
      <c r="A5" s="4" t="s">
        <v>204</v>
      </c>
      <c r="B5" s="16" t="n">
        <v>0.25</v>
      </c>
      <c r="C5" s="4" t="s">
        <v>205</v>
      </c>
      <c r="D5" s="2" t="s">
        <v>206</v>
      </c>
      <c r="E5" s="2" t="s">
        <v>207</v>
      </c>
    </row>
    <row r="6" customFormat="false" ht="15" hidden="false" customHeight="false" outlineLevel="0" collapsed="false">
      <c r="A6" s="4" t="s">
        <v>208</v>
      </c>
      <c r="B6" s="16" t="n">
        <v>0.1</v>
      </c>
      <c r="C6" s="4" t="s">
        <v>205</v>
      </c>
      <c r="D6" s="2"/>
      <c r="E6" s="2" t="s">
        <v>207</v>
      </c>
    </row>
    <row r="7" customFormat="false" ht="15" hidden="false" customHeight="false" outlineLevel="0" collapsed="false">
      <c r="A7" s="4" t="s">
        <v>209</v>
      </c>
      <c r="B7" s="16" t="n">
        <v>0.3</v>
      </c>
      <c r="C7" s="4" t="s">
        <v>205</v>
      </c>
      <c r="D7" s="2"/>
      <c r="E7" s="2" t="s">
        <v>207</v>
      </c>
    </row>
    <row r="8" customFormat="false" ht="15" hidden="false" customHeight="false" outlineLevel="0" collapsed="false">
      <c r="A8" s="4" t="s">
        <v>210</v>
      </c>
      <c r="B8" s="16" t="n">
        <v>0.25</v>
      </c>
      <c r="C8" s="4" t="s">
        <v>205</v>
      </c>
      <c r="D8" s="2"/>
      <c r="E8" s="2" t="s">
        <v>207</v>
      </c>
    </row>
    <row r="9" customFormat="false" ht="15" hidden="false" customHeight="false" outlineLevel="0" collapsed="false">
      <c r="A9" s="4" t="s">
        <v>211</v>
      </c>
      <c r="B9" s="16" t="n">
        <v>0.1</v>
      </c>
      <c r="C9" s="4" t="s">
        <v>205</v>
      </c>
      <c r="D9" s="2"/>
      <c r="E9" s="2" t="s">
        <v>207</v>
      </c>
    </row>
    <row r="10" customFormat="false" ht="15" hidden="false" customHeight="false" outlineLevel="0" collapsed="false">
      <c r="A10" s="4" t="s">
        <v>212</v>
      </c>
      <c r="B10" s="17" t="n">
        <v>0.07</v>
      </c>
      <c r="C10" s="4" t="s">
        <v>213</v>
      </c>
      <c r="D10" s="2"/>
      <c r="E10" s="2" t="s">
        <v>214</v>
      </c>
    </row>
    <row r="11" customFormat="false" ht="15" hidden="false" customHeight="false" outlineLevel="0" collapsed="false">
      <c r="A11" s="4" t="s">
        <v>215</v>
      </c>
      <c r="B11" s="17" t="n">
        <v>0.012</v>
      </c>
      <c r="C11" s="4" t="s">
        <v>216</v>
      </c>
      <c r="D11" s="2"/>
      <c r="E11" s="2" t="s">
        <v>207</v>
      </c>
    </row>
    <row r="12" customFormat="false" ht="15" hidden="false" customHeight="false" outlineLevel="0" collapsed="false">
      <c r="A12" s="4" t="s">
        <v>217</v>
      </c>
      <c r="B12" s="17" t="n">
        <v>0.03</v>
      </c>
      <c r="C12" s="4" t="s">
        <v>213</v>
      </c>
      <c r="D12" s="2" t="s">
        <v>218</v>
      </c>
      <c r="E12" s="2" t="s">
        <v>219</v>
      </c>
    </row>
    <row r="13" customFormat="false" ht="15" hidden="false" customHeight="false" outlineLevel="0" collapsed="false">
      <c r="A13" s="4" t="s">
        <v>220</v>
      </c>
      <c r="B13" s="17" t="n">
        <v>0.005</v>
      </c>
      <c r="C13" s="4" t="s">
        <v>216</v>
      </c>
      <c r="D13" s="2"/>
      <c r="E13" s="2" t="s">
        <v>221</v>
      </c>
    </row>
    <row r="14" customFormat="false" ht="15" hidden="false" customHeight="false" outlineLevel="0" collapsed="false">
      <c r="A14" s="4" t="s">
        <v>222</v>
      </c>
      <c r="B14" s="17" t="n">
        <v>0.005</v>
      </c>
      <c r="C14" s="4" t="s">
        <v>213</v>
      </c>
      <c r="D14" s="2" t="s">
        <v>218</v>
      </c>
      <c r="E14" s="2" t="s">
        <v>223</v>
      </c>
    </row>
    <row r="15" customFormat="false" ht="15" hidden="false" customHeight="false" outlineLevel="0" collapsed="false">
      <c r="A15" s="4" t="s">
        <v>224</v>
      </c>
      <c r="B15" s="18" t="n">
        <v>0.0005</v>
      </c>
      <c r="C15" s="4" t="s">
        <v>216</v>
      </c>
      <c r="D15" s="2"/>
      <c r="E15" s="2" t="s">
        <v>207</v>
      </c>
    </row>
    <row r="16" customFormat="false" ht="15" hidden="false" customHeight="false" outlineLevel="0" collapsed="false">
      <c r="A16" s="4" t="s">
        <v>225</v>
      </c>
      <c r="B16" s="17" t="n">
        <v>0.01</v>
      </c>
      <c r="C16" s="4" t="s">
        <v>213</v>
      </c>
      <c r="D16" s="2" t="s">
        <v>226</v>
      </c>
      <c r="E16" s="2" t="s">
        <v>223</v>
      </c>
    </row>
    <row r="17" customFormat="false" ht="15" hidden="false" customHeight="false" outlineLevel="0" collapsed="false">
      <c r="A17" s="4" t="s">
        <v>227</v>
      </c>
      <c r="B17" s="17" t="n">
        <v>0.001</v>
      </c>
      <c r="C17" s="4" t="s">
        <v>216</v>
      </c>
      <c r="D17" s="2"/>
      <c r="E17" s="2" t="s">
        <v>207</v>
      </c>
    </row>
    <row r="18" customFormat="false" ht="15" hidden="false" customHeight="false" outlineLevel="0" collapsed="false">
      <c r="A18" s="4" t="s">
        <v>228</v>
      </c>
      <c r="B18" s="19" t="n">
        <v>7</v>
      </c>
      <c r="C18" s="4" t="s">
        <v>229</v>
      </c>
      <c r="D18" s="2" t="s">
        <v>230</v>
      </c>
      <c r="E18" s="2" t="s">
        <v>207</v>
      </c>
    </row>
    <row r="19" customFormat="false" ht="15" hidden="false" customHeight="false" outlineLevel="0" collapsed="false">
      <c r="A19" s="4" t="s">
        <v>231</v>
      </c>
      <c r="B19" s="19" t="n">
        <v>1.5</v>
      </c>
      <c r="C19" s="4" t="s">
        <v>229</v>
      </c>
      <c r="D19" s="2"/>
      <c r="E19" s="2" t="s">
        <v>207</v>
      </c>
    </row>
    <row r="20" customFormat="false" ht="15" hidden="false" customHeight="false" outlineLevel="0" collapsed="false">
      <c r="A20" s="4" t="s">
        <v>232</v>
      </c>
      <c r="B20" s="19" t="n">
        <v>2.5</v>
      </c>
      <c r="C20" s="4" t="s">
        <v>229</v>
      </c>
      <c r="D20" s="2"/>
      <c r="E20" s="2" t="s">
        <v>207</v>
      </c>
    </row>
    <row r="21" customFormat="false" ht="15" hidden="false" customHeight="false" outlineLevel="0" collapsed="false">
      <c r="A21" s="4" t="s">
        <v>233</v>
      </c>
      <c r="B21" s="19" t="n">
        <v>0.84</v>
      </c>
      <c r="C21" s="4" t="s">
        <v>234</v>
      </c>
      <c r="D21" s="2"/>
      <c r="E21" s="2" t="s">
        <v>207</v>
      </c>
    </row>
    <row r="22" customFormat="false" ht="15" hidden="false" customHeight="false" outlineLevel="0" collapsed="false">
      <c r="A22" s="4" t="s">
        <v>235</v>
      </c>
      <c r="B22" s="19" t="n">
        <v>3.16</v>
      </c>
      <c r="C22" s="4" t="s">
        <v>236</v>
      </c>
      <c r="D22" s="2"/>
      <c r="E22" s="2" t="s">
        <v>207</v>
      </c>
    </row>
    <row r="23" customFormat="false" ht="15" hidden="false" customHeight="false" outlineLevel="0" collapsed="false">
      <c r="A23" s="4" t="s">
        <v>237</v>
      </c>
      <c r="B23" s="20" t="n">
        <v>300</v>
      </c>
      <c r="C23" s="4" t="s">
        <v>238</v>
      </c>
      <c r="D23" s="2" t="s">
        <v>239</v>
      </c>
      <c r="E23" s="2" t="s">
        <v>207</v>
      </c>
    </row>
    <row r="24" customFormat="false" ht="15" hidden="false" customHeight="false" outlineLevel="0" collapsed="false">
      <c r="A24" s="4" t="s">
        <v>240</v>
      </c>
      <c r="B24" s="16" t="n">
        <v>0.4</v>
      </c>
      <c r="C24" s="4" t="s">
        <v>241</v>
      </c>
      <c r="D24" s="2" t="s">
        <v>242</v>
      </c>
      <c r="E24" s="2" t="s">
        <v>243</v>
      </c>
    </row>
    <row r="25" customFormat="false" ht="15" hidden="false" customHeight="false" outlineLevel="0" collapsed="false">
      <c r="A25" s="4" t="s">
        <v>244</v>
      </c>
      <c r="B25" s="20" t="n">
        <v>20</v>
      </c>
      <c r="C25" s="4" t="s">
        <v>245</v>
      </c>
      <c r="D25" s="2"/>
      <c r="E25" s="2" t="s">
        <v>207</v>
      </c>
    </row>
    <row r="26" customFormat="false" ht="15" hidden="false" customHeight="false" outlineLevel="0" collapsed="false">
      <c r="A26" s="4" t="s">
        <v>246</v>
      </c>
      <c r="B26" s="20" t="n">
        <v>50</v>
      </c>
      <c r="C26" s="4" t="s">
        <v>238</v>
      </c>
      <c r="D26" s="2" t="s">
        <v>247</v>
      </c>
      <c r="E26" s="2" t="s">
        <v>207</v>
      </c>
    </row>
    <row r="27" customFormat="false" ht="15" hidden="false" customHeight="false" outlineLevel="0" collapsed="false">
      <c r="A27" s="4" t="s">
        <v>248</v>
      </c>
      <c r="B27" s="19" t="n">
        <v>1</v>
      </c>
      <c r="C27" s="4" t="s">
        <v>241</v>
      </c>
      <c r="D27" s="2" t="s">
        <v>249</v>
      </c>
      <c r="E27" s="2" t="s">
        <v>207</v>
      </c>
    </row>
    <row r="28" customFormat="false" ht="15" hidden="false" customHeight="false" outlineLevel="0" collapsed="false">
      <c r="A28" s="4" t="s">
        <v>250</v>
      </c>
      <c r="B28" s="16" t="n">
        <v>0.5</v>
      </c>
      <c r="C28" s="4" t="s">
        <v>241</v>
      </c>
      <c r="D28" s="2" t="s">
        <v>251</v>
      </c>
      <c r="E28" s="2" t="s">
        <v>207</v>
      </c>
    </row>
    <row r="29" customFormat="false" ht="15" hidden="false" customHeight="false" outlineLevel="0" collapsed="false">
      <c r="A29" s="4" t="s">
        <v>252</v>
      </c>
      <c r="B29" s="16" t="n">
        <v>0.1</v>
      </c>
      <c r="C29" s="4" t="s">
        <v>253</v>
      </c>
      <c r="D29" s="2"/>
      <c r="E29" s="2" t="s">
        <v>207</v>
      </c>
    </row>
    <row r="30" customFormat="false" ht="15" hidden="false" customHeight="false" outlineLevel="0" collapsed="false">
      <c r="A30" s="4" t="s">
        <v>254</v>
      </c>
      <c r="B30" s="20" t="n">
        <v>10000</v>
      </c>
      <c r="C30" s="4" t="s">
        <v>255</v>
      </c>
      <c r="D30" s="2" t="s">
        <v>256</v>
      </c>
      <c r="E30" s="2" t="s">
        <v>207</v>
      </c>
    </row>
    <row r="31" customFormat="false" ht="15" hidden="false" customHeight="false" outlineLevel="0" collapsed="false">
      <c r="A31" s="3" t="s">
        <v>257</v>
      </c>
      <c r="B31" s="21" t="n">
        <f aca="false">SUM(B5:B9)</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8"/>
    <col collapsed="false" customWidth="true" hidden="false" outlineLevel="0" max="3" min="3" style="0" width="18"/>
    <col collapsed="false" customWidth="true" hidden="false" outlineLevel="0" max="4" min="4" style="0" width="14"/>
    <col collapsed="false" customWidth="true" hidden="false" outlineLevel="0" max="5" min="5" style="0" width="20"/>
    <col collapsed="false" customWidth="true" hidden="false" outlineLevel="0" max="6" min="6" style="0" width="14"/>
    <col collapsed="false" customWidth="true" hidden="false" outlineLevel="0" max="7" min="7" style="0" width="30"/>
    <col collapsed="false" customWidth="true" hidden="false" outlineLevel="0" max="8" min="8" style="0" width="90"/>
  </cols>
  <sheetData>
    <row r="1" customFormat="false" ht="17.35" hidden="false" customHeight="false" outlineLevel="0" collapsed="false">
      <c r="A1" s="1" t="s">
        <v>258</v>
      </c>
    </row>
    <row r="2" customFormat="false" ht="15" hidden="false" customHeight="false" outlineLevel="0" collapsed="false">
      <c r="A2" s="2" t="s">
        <v>1</v>
      </c>
    </row>
    <row r="4" customFormat="false" ht="39.55" hidden="false" customHeight="false" outlineLevel="0" collapsed="false">
      <c r="A4" s="5" t="s">
        <v>98</v>
      </c>
      <c r="B4" s="5" t="s">
        <v>100</v>
      </c>
      <c r="C4" s="5" t="s">
        <v>259</v>
      </c>
      <c r="D4" s="5" t="s">
        <v>260</v>
      </c>
      <c r="E4" s="5" t="s">
        <v>261</v>
      </c>
      <c r="F4" s="5" t="s">
        <v>202</v>
      </c>
      <c r="H4" s="15" t="s">
        <v>203</v>
      </c>
    </row>
    <row r="5" customFormat="false" ht="15" hidden="false" customHeight="false" outlineLevel="0" collapsed="false">
      <c r="A5" s="8" t="s">
        <v>262</v>
      </c>
      <c r="B5" s="9"/>
      <c r="C5" s="9"/>
      <c r="D5" s="9"/>
      <c r="E5" s="9"/>
      <c r="F5" s="9"/>
      <c r="G5" s="9"/>
    </row>
    <row r="6" customFormat="false" ht="15" hidden="false" customHeight="false" outlineLevel="0" collapsed="false">
      <c r="A6" s="4" t="s">
        <v>114</v>
      </c>
      <c r="B6" s="4" t="s">
        <v>116</v>
      </c>
      <c r="C6" s="20" t="n">
        <v>60000</v>
      </c>
      <c r="D6" s="20" t="n">
        <v>60000</v>
      </c>
      <c r="F6" s="4" t="s">
        <v>115</v>
      </c>
      <c r="G6" s="2" t="s">
        <v>263</v>
      </c>
      <c r="H6" s="2" t="s">
        <v>264</v>
      </c>
    </row>
    <row r="7" customFormat="false" ht="15" hidden="false" customHeight="false" outlineLevel="0" collapsed="false">
      <c r="A7" s="4" t="s">
        <v>265</v>
      </c>
      <c r="B7" s="4" t="s">
        <v>266</v>
      </c>
      <c r="C7" s="20" t="n">
        <v>3000</v>
      </c>
      <c r="D7" s="20" t="n">
        <v>4000</v>
      </c>
      <c r="F7" s="4" t="s">
        <v>115</v>
      </c>
      <c r="G7" s="2"/>
      <c r="H7" s="2" t="s">
        <v>207</v>
      </c>
    </row>
    <row r="8" customFormat="false" ht="15" hidden="false" customHeight="false" outlineLevel="0" collapsed="false">
      <c r="A8" s="4" t="s">
        <v>187</v>
      </c>
      <c r="B8" s="4" t="s">
        <v>189</v>
      </c>
      <c r="C8" s="20" t="n">
        <v>30000</v>
      </c>
      <c r="D8" s="20" t="n">
        <v>30000</v>
      </c>
      <c r="F8" s="4" t="s">
        <v>115</v>
      </c>
      <c r="G8" s="2" t="s">
        <v>188</v>
      </c>
      <c r="H8" s="2" t="s">
        <v>207</v>
      </c>
    </row>
    <row r="9" customFormat="false" ht="15" hidden="false" customHeight="false" outlineLevel="0" collapsed="false">
      <c r="A9" s="4" t="s">
        <v>193</v>
      </c>
      <c r="B9" s="4" t="s">
        <v>116</v>
      </c>
      <c r="C9" s="20" t="n">
        <v>0</v>
      </c>
      <c r="D9" s="20" t="n">
        <v>2000</v>
      </c>
      <c r="F9" s="4" t="s">
        <v>115</v>
      </c>
      <c r="G9" s="2" t="s">
        <v>267</v>
      </c>
      <c r="H9" s="2" t="s">
        <v>207</v>
      </c>
    </row>
    <row r="10" customFormat="false" ht="15" hidden="false" customHeight="false" outlineLevel="0" collapsed="false">
      <c r="A10" s="8" t="s">
        <v>268</v>
      </c>
      <c r="B10" s="9"/>
      <c r="C10" s="9"/>
      <c r="D10" s="9"/>
      <c r="E10" s="9"/>
      <c r="F10" s="9"/>
      <c r="G10" s="9"/>
    </row>
    <row r="11" customFormat="false" ht="15" hidden="false" customHeight="false" outlineLevel="0" collapsed="false">
      <c r="A11" s="4" t="s">
        <v>122</v>
      </c>
      <c r="B11" s="4" t="s">
        <v>116</v>
      </c>
      <c r="C11" s="22" t="n">
        <f aca="false">C6*Parameters!$B$5</f>
        <v>15000</v>
      </c>
      <c r="D11" s="22" t="n">
        <f aca="false">D6*Parameters!$B$5</f>
        <v>15000</v>
      </c>
      <c r="F11" s="4" t="s">
        <v>123</v>
      </c>
      <c r="G11" s="2" t="s">
        <v>269</v>
      </c>
      <c r="H11" s="2" t="s">
        <v>270</v>
      </c>
    </row>
    <row r="12" customFormat="false" ht="15" hidden="false" customHeight="false" outlineLevel="0" collapsed="false">
      <c r="A12" s="4" t="s">
        <v>130</v>
      </c>
      <c r="B12" s="4" t="s">
        <v>116</v>
      </c>
      <c r="C12" s="22" t="n">
        <f aca="false">C6*Parameters!$B$6</f>
        <v>6000</v>
      </c>
      <c r="D12" s="22" t="n">
        <f aca="false">D6*Parameters!$B$6</f>
        <v>6000</v>
      </c>
      <c r="F12" s="4" t="s">
        <v>123</v>
      </c>
      <c r="G12" s="2" t="s">
        <v>271</v>
      </c>
      <c r="H12" s="2" t="s">
        <v>270</v>
      </c>
    </row>
    <row r="13" customFormat="false" ht="15" hidden="false" customHeight="false" outlineLevel="0" collapsed="false">
      <c r="A13" s="4" t="s">
        <v>134</v>
      </c>
      <c r="B13" s="4" t="s">
        <v>116</v>
      </c>
      <c r="C13" s="22" t="n">
        <f aca="false">C6*Parameters!$B$7</f>
        <v>18000</v>
      </c>
      <c r="D13" s="22" t="n">
        <f aca="false">D6*Parameters!$B$7</f>
        <v>18000</v>
      </c>
      <c r="F13" s="4" t="s">
        <v>123</v>
      </c>
      <c r="G13" s="2" t="s">
        <v>136</v>
      </c>
      <c r="H13" s="2" t="s">
        <v>270</v>
      </c>
    </row>
    <row r="14" customFormat="false" ht="15" hidden="false" customHeight="false" outlineLevel="0" collapsed="false">
      <c r="A14" s="4" t="s">
        <v>138</v>
      </c>
      <c r="B14" s="4" t="s">
        <v>116</v>
      </c>
      <c r="C14" s="22" t="n">
        <f aca="false">C6*Parameters!$B$8</f>
        <v>15000</v>
      </c>
      <c r="D14" s="22" t="n">
        <f aca="false">D6*Parameters!$B$8</f>
        <v>15000</v>
      </c>
      <c r="F14" s="4" t="s">
        <v>123</v>
      </c>
      <c r="G14" s="2" t="s">
        <v>271</v>
      </c>
      <c r="H14" s="2" t="s">
        <v>270</v>
      </c>
    </row>
    <row r="15" customFormat="false" ht="15" hidden="false" customHeight="false" outlineLevel="0" collapsed="false">
      <c r="A15" s="4" t="s">
        <v>140</v>
      </c>
      <c r="B15" s="4" t="s">
        <v>116</v>
      </c>
      <c r="C15" s="22" t="n">
        <f aca="false">C6*Parameters!$B$9</f>
        <v>6000</v>
      </c>
      <c r="D15" s="22" t="n">
        <f aca="false">D6*Parameters!$B$9</f>
        <v>6000</v>
      </c>
      <c r="F15" s="4" t="s">
        <v>123</v>
      </c>
      <c r="G15" s="2" t="s">
        <v>272</v>
      </c>
      <c r="H15" s="2" t="s">
        <v>270</v>
      </c>
    </row>
    <row r="16" customFormat="false" ht="15" hidden="false" customHeight="false" outlineLevel="0" collapsed="false">
      <c r="A16" s="4" t="s">
        <v>144</v>
      </c>
      <c r="B16" s="4" t="s">
        <v>145</v>
      </c>
      <c r="C16" s="20" t="n">
        <v>100000</v>
      </c>
      <c r="D16" s="20" t="n">
        <v>120000</v>
      </c>
      <c r="F16" s="4" t="s">
        <v>123</v>
      </c>
      <c r="G16" s="2" t="s">
        <v>273</v>
      </c>
      <c r="H16" s="2" t="s">
        <v>207</v>
      </c>
    </row>
    <row r="17" customFormat="false" ht="15" hidden="false" customHeight="false" outlineLevel="0" collapsed="false">
      <c r="A17" s="4" t="s">
        <v>56</v>
      </c>
      <c r="B17" s="4" t="s">
        <v>116</v>
      </c>
      <c r="C17" s="22" t="n">
        <f aca="false">C7*Parameters!$B$21</f>
        <v>2520</v>
      </c>
      <c r="D17" s="22" t="n">
        <f aca="false">D7*Parameters!$B$21</f>
        <v>3360</v>
      </c>
      <c r="F17" s="4" t="s">
        <v>123</v>
      </c>
      <c r="G17" s="2" t="s">
        <v>152</v>
      </c>
      <c r="H17" s="2" t="s">
        <v>270</v>
      </c>
    </row>
    <row r="18" customFormat="false" ht="15" hidden="false" customHeight="false" outlineLevel="0" collapsed="false">
      <c r="A18" s="4" t="s">
        <v>154</v>
      </c>
      <c r="B18" s="4" t="s">
        <v>116</v>
      </c>
      <c r="C18" s="20" t="n">
        <v>300</v>
      </c>
      <c r="D18" s="20" t="n">
        <v>800</v>
      </c>
      <c r="F18" s="4" t="s">
        <v>123</v>
      </c>
      <c r="G18" s="2" t="s">
        <v>274</v>
      </c>
      <c r="H18" s="2" t="s">
        <v>207</v>
      </c>
    </row>
    <row r="19" customFormat="false" ht="15" hidden="false" customHeight="false" outlineLevel="0" collapsed="false">
      <c r="A19" s="4" t="s">
        <v>159</v>
      </c>
      <c r="B19" s="4" t="s">
        <v>160</v>
      </c>
      <c r="C19" s="22" t="n">
        <f aca="false">C24/1000*Parameters!$B$23</f>
        <v>12000</v>
      </c>
      <c r="D19" s="22" t="n">
        <f aca="false">D24/1000*Parameters!$B$23</f>
        <v>34500</v>
      </c>
      <c r="F19" s="4" t="s">
        <v>123</v>
      </c>
      <c r="G19" s="2" t="s">
        <v>275</v>
      </c>
      <c r="H19" s="2" t="s">
        <v>270</v>
      </c>
    </row>
    <row r="20" customFormat="false" ht="15" hidden="false" customHeight="false" outlineLevel="0" collapsed="false">
      <c r="A20" s="8" t="s">
        <v>276</v>
      </c>
      <c r="B20" s="9"/>
      <c r="C20" s="9"/>
      <c r="D20" s="9"/>
      <c r="E20" s="9"/>
      <c r="F20" s="9"/>
      <c r="G20" s="9"/>
    </row>
    <row r="21" customFormat="false" ht="15" hidden="false" customHeight="false" outlineLevel="0" collapsed="false">
      <c r="A21" s="4" t="s">
        <v>277</v>
      </c>
      <c r="B21" s="4" t="s">
        <v>116</v>
      </c>
      <c r="C21" s="20" t="n">
        <v>40000</v>
      </c>
      <c r="D21" s="20" t="n">
        <v>40000</v>
      </c>
      <c r="F21" s="4" t="s">
        <v>166</v>
      </c>
      <c r="H21" s="2" t="s">
        <v>207</v>
      </c>
    </row>
    <row r="22" customFormat="false" ht="15" hidden="false" customHeight="false" outlineLevel="0" collapsed="false">
      <c r="A22" s="4" t="s">
        <v>169</v>
      </c>
      <c r="B22" s="4" t="s">
        <v>116</v>
      </c>
      <c r="C22" s="20" t="n">
        <v>0</v>
      </c>
      <c r="D22" s="20" t="n">
        <v>50000</v>
      </c>
      <c r="F22" s="4" t="s">
        <v>166</v>
      </c>
      <c r="H22" s="2" t="s">
        <v>207</v>
      </c>
    </row>
    <row r="23" customFormat="false" ht="15" hidden="false" customHeight="false" outlineLevel="0" collapsed="false">
      <c r="A23" s="4" t="s">
        <v>172</v>
      </c>
      <c r="B23" s="4" t="s">
        <v>116</v>
      </c>
      <c r="C23" s="20" t="n">
        <v>0</v>
      </c>
      <c r="D23" s="20" t="n">
        <v>25000</v>
      </c>
      <c r="F23" s="4" t="s">
        <v>166</v>
      </c>
      <c r="H23" s="2" t="s">
        <v>207</v>
      </c>
    </row>
    <row r="24" customFormat="false" ht="15" hidden="false" customHeight="false" outlineLevel="0" collapsed="false">
      <c r="A24" s="3" t="s">
        <v>278</v>
      </c>
      <c r="B24" s="23" t="s">
        <v>116</v>
      </c>
      <c r="C24" s="24" t="n">
        <f aca="false">SUM(C21:C23)</f>
        <v>40000</v>
      </c>
      <c r="D24" s="24" t="n">
        <f aca="false">SUM(D21:D23)</f>
        <v>115000</v>
      </c>
      <c r="H24" s="2" t="s">
        <v>270</v>
      </c>
    </row>
    <row r="25" customFormat="false" ht="15" hidden="false" customHeight="false" outlineLevel="0" collapsed="false">
      <c r="A25" s="8" t="s">
        <v>279</v>
      </c>
      <c r="B25" s="9"/>
      <c r="C25" s="9"/>
      <c r="D25" s="9"/>
      <c r="E25" s="9"/>
      <c r="F25" s="9"/>
      <c r="G25" s="9"/>
    </row>
    <row r="26" customFormat="false" ht="15" hidden="false" customHeight="false" outlineLevel="0" collapsed="false">
      <c r="A26" s="4" t="s">
        <v>174</v>
      </c>
      <c r="B26" s="4" t="s">
        <v>280</v>
      </c>
      <c r="C26" s="22" t="n">
        <f aca="false">'Nutrient balance'!C11</f>
        <v>3000</v>
      </c>
      <c r="D26" s="22" t="n">
        <f aca="false">'Nutrient balance'!D11</f>
        <v>2450</v>
      </c>
      <c r="F26" s="4" t="s">
        <v>175</v>
      </c>
      <c r="G26" s="2" t="s">
        <v>281</v>
      </c>
      <c r="H26" s="2" t="s">
        <v>270</v>
      </c>
    </row>
    <row r="27" customFormat="false" ht="15" hidden="false" customHeight="false" outlineLevel="0" collapsed="false">
      <c r="A27" s="4" t="s">
        <v>180</v>
      </c>
      <c r="B27" s="4" t="s">
        <v>282</v>
      </c>
      <c r="C27" s="22" t="n">
        <f aca="false">'Nutrient balance'!C19</f>
        <v>520</v>
      </c>
      <c r="D27" s="22" t="n">
        <f aca="false">'Nutrient balance'!D19</f>
        <v>465</v>
      </c>
      <c r="F27" s="4" t="s">
        <v>175</v>
      </c>
      <c r="G27" s="2" t="s">
        <v>281</v>
      </c>
      <c r="H27" s="2" t="s">
        <v>270</v>
      </c>
    </row>
    <row r="28" customFormat="false" ht="15" hidden="false" customHeight="false" outlineLevel="0" collapsed="false">
      <c r="A28" s="4" t="s">
        <v>283</v>
      </c>
      <c r="B28" s="4" t="s">
        <v>284</v>
      </c>
      <c r="C28" s="22" t="n">
        <f aca="false">C17*Parameters!$B$22</f>
        <v>7963.2</v>
      </c>
      <c r="D28" s="22" t="n">
        <f aca="false">D17*Parameters!$B$22</f>
        <v>10617.6</v>
      </c>
      <c r="F28" s="4" t="s">
        <v>175</v>
      </c>
      <c r="G28" s="2" t="s">
        <v>285</v>
      </c>
      <c r="H28" s="2" t="s">
        <v>270</v>
      </c>
    </row>
    <row r="30" customFormat="false" ht="15" hidden="false" customHeight="false" outlineLevel="0" collapsed="false">
      <c r="A30" s="8" t="s">
        <v>286</v>
      </c>
      <c r="B30" s="9"/>
      <c r="C30" s="9"/>
      <c r="D30" s="9"/>
      <c r="E30" s="9"/>
      <c r="F30" s="9"/>
      <c r="G30" s="9"/>
    </row>
    <row r="31" customFormat="false" ht="15" hidden="false" customHeight="false" outlineLevel="0" collapsed="false">
      <c r="A31" s="4" t="s">
        <v>287</v>
      </c>
      <c r="B31" s="4" t="s">
        <v>116</v>
      </c>
      <c r="C31" s="20" t="n">
        <v>0</v>
      </c>
      <c r="D31" s="20" t="n">
        <v>10000</v>
      </c>
      <c r="F31" s="4" t="s">
        <v>115</v>
      </c>
      <c r="G31" s="2" t="s">
        <v>288</v>
      </c>
      <c r="H31" s="2" t="s">
        <v>207</v>
      </c>
    </row>
    <row r="32" customFormat="false" ht="15" hidden="false" customHeight="false" outlineLevel="0" collapsed="false">
      <c r="A32" s="4" t="s">
        <v>289</v>
      </c>
      <c r="B32" s="4" t="s">
        <v>116</v>
      </c>
      <c r="C32" s="25" t="n">
        <f aca="false">IF(C31&gt;0,C23*Parameters!$B$24,0)</f>
        <v>0</v>
      </c>
      <c r="D32" s="25" t="n">
        <f aca="false">IF(D31&gt;0,D23*Parameters!$B$24,0)</f>
        <v>10000</v>
      </c>
      <c r="F32" s="4" t="s">
        <v>115</v>
      </c>
      <c r="G32" s="2" t="s">
        <v>290</v>
      </c>
      <c r="H32" s="2" t="s">
        <v>270</v>
      </c>
    </row>
    <row r="33" customFormat="false" ht="15" hidden="false" customHeight="false" outlineLevel="0" collapsed="false">
      <c r="A33" s="4" t="s">
        <v>291</v>
      </c>
      <c r="B33" s="4" t="s">
        <v>145</v>
      </c>
      <c r="C33" s="25" t="n">
        <f aca="false">C32/1000*Parameters!$B$25</f>
        <v>0</v>
      </c>
      <c r="D33" s="25" t="n">
        <f aca="false">D32/1000*Parameters!$B$25</f>
        <v>200</v>
      </c>
      <c r="F33" s="4" t="s">
        <v>123</v>
      </c>
      <c r="G33" s="2" t="s">
        <v>273</v>
      </c>
      <c r="H33" s="2" t="s">
        <v>270</v>
      </c>
    </row>
    <row r="34" customFormat="false" ht="15" hidden="false" customHeight="false" outlineLevel="0" collapsed="false">
      <c r="A34" s="4" t="s">
        <v>292</v>
      </c>
      <c r="B34" s="4" t="s">
        <v>160</v>
      </c>
      <c r="C34" s="25" t="n">
        <f aca="false">(C31+C32)/1000*Parameters!$B$26</f>
        <v>0</v>
      </c>
      <c r="D34" s="25" t="n">
        <f aca="false">(D31+D32)/1000*Parameters!$B$26</f>
        <v>1000</v>
      </c>
      <c r="F34" s="4" t="s">
        <v>123</v>
      </c>
      <c r="G34" s="2" t="s">
        <v>239</v>
      </c>
      <c r="H34" s="2" t="s">
        <v>270</v>
      </c>
    </row>
    <row r="35" customFormat="false" ht="15" hidden="false" customHeight="false" outlineLevel="0" collapsed="false">
      <c r="A35" s="4" t="s">
        <v>293</v>
      </c>
      <c r="B35" s="4" t="s">
        <v>116</v>
      </c>
      <c r="C35" s="25" t="n">
        <f aca="false">C31</f>
        <v>0</v>
      </c>
      <c r="D35" s="25" t="n">
        <f aca="false">D31</f>
        <v>10000</v>
      </c>
      <c r="F35" s="4" t="s">
        <v>123</v>
      </c>
      <c r="G35" s="2" t="s">
        <v>294</v>
      </c>
      <c r="H35" s="2" t="s">
        <v>270</v>
      </c>
    </row>
    <row r="36" customFormat="false" ht="15" hidden="false" customHeight="false" outlineLevel="0" collapsed="false">
      <c r="A36" s="4" t="s">
        <v>295</v>
      </c>
      <c r="B36" s="4" t="s">
        <v>116</v>
      </c>
      <c r="C36" s="25" t="n">
        <f aca="false">-C32*Parameters!$B$27</f>
        <v>-0</v>
      </c>
      <c r="D36" s="25" t="n">
        <f aca="false">-D32*Parameters!$B$27</f>
        <v>-10000</v>
      </c>
      <c r="F36" s="4" t="s">
        <v>296</v>
      </c>
      <c r="G36" s="2" t="s">
        <v>297</v>
      </c>
      <c r="H36" s="2" t="s">
        <v>270</v>
      </c>
    </row>
    <row r="37" customFormat="false" ht="15" hidden="false" customHeight="false" outlineLevel="0" collapsed="false">
      <c r="A37" s="4" t="s">
        <v>298</v>
      </c>
      <c r="B37" s="4" t="s">
        <v>280</v>
      </c>
      <c r="C37" s="25" t="n">
        <f aca="false">-C31*Parameters!$B$14*Parameters!$B$28</f>
        <v>-0</v>
      </c>
      <c r="D37" s="25" t="n">
        <f aca="false">-D31*Parameters!$B$14*Parameters!$B$28</f>
        <v>-25</v>
      </c>
      <c r="F37" s="4" t="s">
        <v>296</v>
      </c>
      <c r="G37" s="2" t="s">
        <v>297</v>
      </c>
      <c r="H37" s="2" t="s">
        <v>270</v>
      </c>
    </row>
    <row r="38" customFormat="false" ht="15" hidden="false" customHeight="false" outlineLevel="0" collapsed="false">
      <c r="A38" s="4" t="s">
        <v>299</v>
      </c>
      <c r="B38" s="4" t="s">
        <v>280</v>
      </c>
      <c r="C38" s="25" t="n">
        <f aca="false">C31*Parameters!$B$14*Parameters!$B$29</f>
        <v>0</v>
      </c>
      <c r="D38" s="25" t="n">
        <f aca="false">D31*Parameters!$B$14*Parameters!$B$29</f>
        <v>5</v>
      </c>
      <c r="F38" s="4" t="s">
        <v>175</v>
      </c>
      <c r="G38" s="2" t="s">
        <v>300</v>
      </c>
      <c r="H38" s="2" t="s">
        <v>270</v>
      </c>
    </row>
    <row r="40" customFormat="false" ht="15" hidden="false" customHeight="false" outlineLevel="0" collapsed="false">
      <c r="A40" s="2" t="s">
        <v>301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22"/>
  </cols>
  <sheetData>
    <row r="1" customFormat="false" ht="17.35" hidden="false" customHeight="false" outlineLevel="0" collapsed="false">
      <c r="A1" s="1" t="s">
        <v>302</v>
      </c>
    </row>
    <row r="2" customFormat="false" ht="15" hidden="false" customHeight="false" outlineLevel="0" collapsed="false">
      <c r="A2" s="2" t="s">
        <v>1</v>
      </c>
    </row>
    <row r="4" customFormat="false" ht="39.55" hidden="false" customHeight="false" outlineLevel="0" collapsed="false">
      <c r="A4" s="5" t="s">
        <v>23</v>
      </c>
      <c r="B4" s="5" t="s">
        <v>100</v>
      </c>
      <c r="C4" s="5" t="s">
        <v>259</v>
      </c>
      <c r="D4" s="5" t="s">
        <v>260</v>
      </c>
    </row>
    <row r="5" customFormat="false" ht="15" hidden="false" customHeight="false" outlineLevel="0" collapsed="false">
      <c r="A5" s="4" t="s">
        <v>303</v>
      </c>
      <c r="B5" s="4" t="s">
        <v>280</v>
      </c>
      <c r="C5" s="22" t="n">
        <f aca="false">LCI!C6*Parameters!$B$10</f>
        <v>4200</v>
      </c>
      <c r="D5" s="22" t="n">
        <f aca="false">LCI!D6*Parameters!$B$10</f>
        <v>4200</v>
      </c>
    </row>
    <row r="6" customFormat="false" ht="15" hidden="false" customHeight="false" outlineLevel="0" collapsed="false">
      <c r="A6" s="4" t="s">
        <v>304</v>
      </c>
      <c r="B6" s="4" t="s">
        <v>280</v>
      </c>
      <c r="C6" s="22" t="n">
        <f aca="false">LCI!C21*Parameters!$B$12</f>
        <v>1200</v>
      </c>
      <c r="D6" s="22" t="n">
        <f aca="false">LCI!D21*Parameters!$B$12</f>
        <v>1200</v>
      </c>
    </row>
    <row r="7" customFormat="false" ht="15" hidden="false" customHeight="false" outlineLevel="0" collapsed="false">
      <c r="A7" s="4" t="s">
        <v>305</v>
      </c>
      <c r="B7" s="4" t="s">
        <v>280</v>
      </c>
      <c r="C7" s="22" t="n">
        <f aca="false">(LCI!C22+LCI!C31)*Parameters!$B$14</f>
        <v>0</v>
      </c>
      <c r="D7" s="22" t="n">
        <f aca="false">(LCI!D22+LCI!D31)*Parameters!$B$14</f>
        <v>300</v>
      </c>
    </row>
    <row r="8" customFormat="false" ht="15" hidden="false" customHeight="false" outlineLevel="0" collapsed="false">
      <c r="A8" s="4" t="s">
        <v>306</v>
      </c>
      <c r="B8" s="4" t="s">
        <v>280</v>
      </c>
      <c r="C8" s="22" t="n">
        <f aca="false">LCI!C23*Parameters!$B$16</f>
        <v>0</v>
      </c>
      <c r="D8" s="22" t="n">
        <f aca="false">LCI!D23*Parameters!$B$16</f>
        <v>250</v>
      </c>
    </row>
    <row r="9" customFormat="false" ht="15" hidden="false" customHeight="false" outlineLevel="0" collapsed="false">
      <c r="A9" s="4" t="s">
        <v>307</v>
      </c>
      <c r="B9" s="4" t="s">
        <v>280</v>
      </c>
      <c r="C9" s="22" t="n">
        <f aca="false">C5-C6</f>
        <v>3000</v>
      </c>
      <c r="D9" s="22" t="n">
        <f aca="false">D5-D6</f>
        <v>3000</v>
      </c>
    </row>
    <row r="10" customFormat="false" ht="15" hidden="false" customHeight="false" outlineLevel="0" collapsed="false">
      <c r="A10" s="4" t="s">
        <v>308</v>
      </c>
      <c r="B10" s="4" t="s">
        <v>280</v>
      </c>
      <c r="C10" s="22" t="n">
        <f aca="false">C7+C8</f>
        <v>0</v>
      </c>
      <c r="D10" s="22" t="n">
        <f aca="false">D7+D8</f>
        <v>550</v>
      </c>
    </row>
    <row r="11" customFormat="false" ht="15" hidden="false" customHeight="false" outlineLevel="0" collapsed="false">
      <c r="A11" s="3" t="s">
        <v>309</v>
      </c>
      <c r="B11" s="4" t="s">
        <v>280</v>
      </c>
      <c r="C11" s="22" t="n">
        <f aca="false">C9-C10</f>
        <v>3000</v>
      </c>
      <c r="D11" s="22" t="n">
        <f aca="false">D9-D10</f>
        <v>2450</v>
      </c>
    </row>
    <row r="12" customFormat="false" ht="15" hidden="false" customHeight="false" outlineLevel="0" collapsed="false">
      <c r="A12" s="8" t="s">
        <v>310</v>
      </c>
      <c r="B12" s="9"/>
      <c r="C12" s="9"/>
      <c r="D12" s="9"/>
      <c r="E12" s="9"/>
    </row>
    <row r="13" customFormat="false" ht="15" hidden="false" customHeight="false" outlineLevel="0" collapsed="false">
      <c r="A13" s="4" t="s">
        <v>311</v>
      </c>
      <c r="B13" s="4" t="s">
        <v>282</v>
      </c>
      <c r="C13" s="22" t="n">
        <f aca="false">LCI!C6*Parameters!$B$11</f>
        <v>720</v>
      </c>
      <c r="D13" s="22" t="n">
        <f aca="false">LCI!D6*Parameters!$B$11</f>
        <v>720</v>
      </c>
    </row>
    <row r="14" customFormat="false" ht="15" hidden="false" customHeight="false" outlineLevel="0" collapsed="false">
      <c r="A14" s="4" t="s">
        <v>312</v>
      </c>
      <c r="B14" s="4" t="s">
        <v>282</v>
      </c>
      <c r="C14" s="22" t="n">
        <f aca="false">LCI!C21*Parameters!$B$13</f>
        <v>200</v>
      </c>
      <c r="D14" s="22" t="n">
        <f aca="false">LCI!D21*Parameters!$B$13</f>
        <v>200</v>
      </c>
    </row>
    <row r="15" customFormat="false" ht="15" hidden="false" customHeight="false" outlineLevel="0" collapsed="false">
      <c r="A15" s="4" t="s">
        <v>313</v>
      </c>
      <c r="B15" s="4" t="s">
        <v>282</v>
      </c>
      <c r="C15" s="22" t="n">
        <f aca="false">(LCI!C22+LCI!C31)*Parameters!$B$15</f>
        <v>0</v>
      </c>
      <c r="D15" s="22" t="n">
        <f aca="false">(LCI!D22+LCI!D31)*Parameters!$B$15</f>
        <v>30</v>
      </c>
    </row>
    <row r="16" customFormat="false" ht="15" hidden="false" customHeight="false" outlineLevel="0" collapsed="false">
      <c r="A16" s="4" t="s">
        <v>314</v>
      </c>
      <c r="B16" s="4" t="s">
        <v>282</v>
      </c>
      <c r="C16" s="22" t="n">
        <f aca="false">LCI!C23*Parameters!$B$17</f>
        <v>0</v>
      </c>
      <c r="D16" s="22" t="n">
        <f aca="false">LCI!D23*Parameters!$B$17</f>
        <v>25</v>
      </c>
    </row>
    <row r="17" customFormat="false" ht="15" hidden="false" customHeight="false" outlineLevel="0" collapsed="false">
      <c r="A17" s="4" t="s">
        <v>315</v>
      </c>
      <c r="B17" s="4" t="s">
        <v>282</v>
      </c>
      <c r="C17" s="22" t="n">
        <f aca="false">C13-C14</f>
        <v>520</v>
      </c>
      <c r="D17" s="22" t="n">
        <f aca="false">D13-D14</f>
        <v>520</v>
      </c>
    </row>
    <row r="18" customFormat="false" ht="15" hidden="false" customHeight="false" outlineLevel="0" collapsed="false">
      <c r="A18" s="4" t="s">
        <v>316</v>
      </c>
      <c r="B18" s="4" t="s">
        <v>282</v>
      </c>
      <c r="C18" s="22" t="n">
        <f aca="false">C15+C16</f>
        <v>0</v>
      </c>
      <c r="D18" s="22" t="n">
        <f aca="false">D15+D16</f>
        <v>55</v>
      </c>
    </row>
    <row r="19" customFormat="false" ht="15" hidden="false" customHeight="false" outlineLevel="0" collapsed="false">
      <c r="A19" s="3" t="s">
        <v>317</v>
      </c>
      <c r="B19" s="4" t="s">
        <v>282</v>
      </c>
      <c r="C19" s="22" t="n">
        <f aca="false">C17-C18</f>
        <v>520</v>
      </c>
      <c r="D19" s="22" t="n">
        <f aca="false">D17-D18</f>
        <v>465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
    <col collapsed="false" customWidth="true" hidden="false" outlineLevel="0" max="3" min="3" style="0" width="18"/>
    <col collapsed="false" customWidth="true" hidden="false" outlineLevel="0" max="4" min="4" style="0" width="22"/>
    <col collapsed="false" customWidth="true" hidden="false" outlineLevel="0" max="5" min="5" style="0" width="14"/>
    <col collapsed="false" customWidth="true" hidden="false" outlineLevel="0" max="6" min="6" style="0" width="40"/>
    <col collapsed="false" customWidth="true" hidden="false" outlineLevel="0" max="7" min="7" style="0" width="95"/>
  </cols>
  <sheetData>
    <row r="1" customFormat="false" ht="17.35" hidden="false" customHeight="false" outlineLevel="0" collapsed="false">
      <c r="A1" s="1" t="s">
        <v>318</v>
      </c>
    </row>
    <row r="2" customFormat="false" ht="15" hidden="false" customHeight="false" outlineLevel="0" collapsed="false">
      <c r="A2" s="2" t="s">
        <v>1</v>
      </c>
    </row>
    <row r="4" customFormat="false" ht="39.55" hidden="false" customHeight="false" outlineLevel="0" collapsed="false">
      <c r="A4" s="5" t="s">
        <v>98</v>
      </c>
      <c r="B4" s="5" t="s">
        <v>100</v>
      </c>
      <c r="C4" s="5" t="s">
        <v>319</v>
      </c>
      <c r="D4" s="5" t="s">
        <v>320</v>
      </c>
      <c r="E4" s="5" t="s">
        <v>321</v>
      </c>
      <c r="F4" s="5" t="s">
        <v>202</v>
      </c>
      <c r="G4" s="15" t="s">
        <v>203</v>
      </c>
    </row>
    <row r="5" customFormat="false" ht="15" hidden="false" customHeight="false" outlineLevel="0" collapsed="false">
      <c r="A5" s="4" t="s">
        <v>122</v>
      </c>
      <c r="B5" s="4" t="s">
        <v>116</v>
      </c>
      <c r="C5" s="19" t="n">
        <v>1.5</v>
      </c>
      <c r="D5" s="26" t="n">
        <v>0.02</v>
      </c>
      <c r="E5" s="27" t="n">
        <v>20</v>
      </c>
      <c r="F5" s="2"/>
      <c r="G5" s="2" t="s">
        <v>322</v>
      </c>
    </row>
    <row r="6" customFormat="false" ht="15" hidden="false" customHeight="false" outlineLevel="0" collapsed="false">
      <c r="A6" s="4" t="s">
        <v>130</v>
      </c>
      <c r="B6" s="4" t="s">
        <v>116</v>
      </c>
      <c r="C6" s="19" t="n">
        <v>1.8</v>
      </c>
      <c r="D6" s="26" t="n">
        <v>0.02</v>
      </c>
      <c r="E6" s="27" t="n">
        <v>22</v>
      </c>
      <c r="F6" s="2"/>
      <c r="G6" s="2" t="s">
        <v>322</v>
      </c>
    </row>
    <row r="7" customFormat="false" ht="15" hidden="false" customHeight="false" outlineLevel="0" collapsed="false">
      <c r="A7" s="4" t="s">
        <v>134</v>
      </c>
      <c r="B7" s="4" t="s">
        <v>116</v>
      </c>
      <c r="C7" s="19" t="n">
        <v>1.5</v>
      </c>
      <c r="D7" s="26" t="n">
        <v>0.04</v>
      </c>
      <c r="E7" s="27" t="n">
        <v>8</v>
      </c>
      <c r="F7" s="2" t="s">
        <v>323</v>
      </c>
      <c r="G7" s="2" t="s">
        <v>322</v>
      </c>
    </row>
    <row r="8" customFormat="false" ht="15" hidden="false" customHeight="false" outlineLevel="0" collapsed="false">
      <c r="A8" s="4" t="s">
        <v>138</v>
      </c>
      <c r="B8" s="4" t="s">
        <v>116</v>
      </c>
      <c r="C8" s="19" t="n">
        <v>0.6</v>
      </c>
      <c r="D8" s="26" t="n">
        <v>0.03</v>
      </c>
      <c r="E8" s="27" t="n">
        <v>4</v>
      </c>
      <c r="F8" s="2"/>
      <c r="G8" s="2" t="s">
        <v>322</v>
      </c>
    </row>
    <row r="9" customFormat="false" ht="15" hidden="false" customHeight="false" outlineLevel="0" collapsed="false">
      <c r="A9" s="4" t="s">
        <v>140</v>
      </c>
      <c r="B9" s="4" t="s">
        <v>116</v>
      </c>
      <c r="C9" s="19" t="n">
        <v>2.5</v>
      </c>
      <c r="D9" s="26" t="n">
        <v>0.04</v>
      </c>
      <c r="E9" s="27" t="n">
        <v>20</v>
      </c>
      <c r="F9" s="2"/>
      <c r="G9" s="2" t="s">
        <v>322</v>
      </c>
    </row>
    <row r="10" customFormat="false" ht="15" hidden="false" customHeight="false" outlineLevel="0" collapsed="false">
      <c r="A10" s="4" t="s">
        <v>144</v>
      </c>
      <c r="B10" s="4" t="s">
        <v>145</v>
      </c>
      <c r="C10" s="19" t="n">
        <v>0.2</v>
      </c>
      <c r="D10" s="26" t="n">
        <v>0.0002</v>
      </c>
      <c r="E10" s="27" t="n">
        <v>9</v>
      </c>
      <c r="F10" s="2" t="s">
        <v>324</v>
      </c>
      <c r="G10" s="2" t="s">
        <v>322</v>
      </c>
    </row>
    <row r="11" customFormat="false" ht="15" hidden="false" customHeight="false" outlineLevel="0" collapsed="false">
      <c r="A11" s="4" t="s">
        <v>56</v>
      </c>
      <c r="B11" s="4" t="s">
        <v>116</v>
      </c>
      <c r="C11" s="19" t="n">
        <v>0.6</v>
      </c>
      <c r="D11" s="26" t="n">
        <v>0.001</v>
      </c>
      <c r="E11" s="27" t="n">
        <v>50</v>
      </c>
      <c r="F11" s="2" t="s">
        <v>325</v>
      </c>
      <c r="G11" s="2" t="s">
        <v>322</v>
      </c>
    </row>
    <row r="12" customFormat="false" ht="15" hidden="false" customHeight="false" outlineLevel="0" collapsed="false">
      <c r="A12" s="4" t="s">
        <v>154</v>
      </c>
      <c r="B12" s="4" t="s">
        <v>116</v>
      </c>
      <c r="C12" s="19" t="n">
        <v>2</v>
      </c>
      <c r="D12" s="26" t="n">
        <v>0.0005</v>
      </c>
      <c r="E12" s="27" t="n">
        <v>75</v>
      </c>
      <c r="F12" s="2"/>
      <c r="G12" s="2" t="s">
        <v>322</v>
      </c>
    </row>
    <row r="13" customFormat="false" ht="15" hidden="false" customHeight="false" outlineLevel="0" collapsed="false">
      <c r="A13" s="4" t="s">
        <v>159</v>
      </c>
      <c r="B13" s="4" t="s">
        <v>160</v>
      </c>
      <c r="C13" s="19" t="n">
        <v>0.12</v>
      </c>
      <c r="D13" s="26" t="n">
        <v>0.0003</v>
      </c>
      <c r="E13" s="27" t="n">
        <v>1.8</v>
      </c>
      <c r="F13" s="2"/>
      <c r="G13" s="2" t="s">
        <v>322</v>
      </c>
    </row>
    <row r="14" customFormat="false" ht="15" hidden="false" customHeight="false" outlineLevel="0" collapsed="false">
      <c r="A14" s="4" t="s">
        <v>174</v>
      </c>
      <c r="B14" s="4" t="s">
        <v>280</v>
      </c>
      <c r="C14" s="19" t="n">
        <v>0</v>
      </c>
      <c r="D14" s="26" t="n">
        <v>1</v>
      </c>
      <c r="E14" s="27" t="n">
        <v>0</v>
      </c>
      <c r="F14" s="2" t="s">
        <v>326</v>
      </c>
      <c r="G14" s="2" t="s">
        <v>322</v>
      </c>
    </row>
    <row r="15" customFormat="false" ht="15" hidden="false" customHeight="false" outlineLevel="0" collapsed="false">
      <c r="A15" s="4" t="s">
        <v>180</v>
      </c>
      <c r="B15" s="4" t="s">
        <v>282</v>
      </c>
      <c r="C15" s="19" t="n">
        <v>0</v>
      </c>
      <c r="D15" s="26" t="n">
        <v>0</v>
      </c>
      <c r="E15" s="27" t="n">
        <v>0</v>
      </c>
      <c r="F15" s="2" t="s">
        <v>327</v>
      </c>
      <c r="G15" s="2" t="s">
        <v>322</v>
      </c>
    </row>
    <row r="16" customFormat="false" ht="15" hidden="false" customHeight="false" outlineLevel="0" collapsed="false">
      <c r="A16" s="4" t="s">
        <v>182</v>
      </c>
      <c r="B16" s="4" t="s">
        <v>284</v>
      </c>
      <c r="C16" s="19" t="n">
        <v>1</v>
      </c>
      <c r="D16" s="26" t="n">
        <v>0</v>
      </c>
      <c r="E16" s="27" t="n">
        <v>0</v>
      </c>
      <c r="F16" s="2" t="s">
        <v>328</v>
      </c>
      <c r="G16" s="2" t="s">
        <v>322</v>
      </c>
    </row>
    <row r="17" customFormat="false" ht="15" hidden="false" customHeight="false" outlineLevel="0" collapsed="false">
      <c r="A17" s="4" t="s">
        <v>291</v>
      </c>
      <c r="B17" s="4" t="s">
        <v>145</v>
      </c>
      <c r="C17" s="19" t="n">
        <v>0.2</v>
      </c>
      <c r="D17" s="26" t="n">
        <v>0.0002</v>
      </c>
      <c r="E17" s="27" t="n">
        <v>9</v>
      </c>
      <c r="F17" s="2" t="s">
        <v>324</v>
      </c>
      <c r="G17" s="2" t="s">
        <v>322</v>
      </c>
    </row>
    <row r="18" customFormat="false" ht="15" hidden="false" customHeight="false" outlineLevel="0" collapsed="false">
      <c r="A18" s="4" t="s">
        <v>292</v>
      </c>
      <c r="B18" s="4" t="s">
        <v>160</v>
      </c>
      <c r="C18" s="19" t="n">
        <v>0.12</v>
      </c>
      <c r="D18" s="26" t="n">
        <v>0.0003</v>
      </c>
      <c r="E18" s="27" t="n">
        <v>1.8</v>
      </c>
      <c r="F18" s="2"/>
      <c r="G18" s="2" t="s">
        <v>322</v>
      </c>
    </row>
    <row r="19" customFormat="false" ht="15" hidden="false" customHeight="false" outlineLevel="0" collapsed="false">
      <c r="A19" s="4" t="s">
        <v>293</v>
      </c>
      <c r="B19" s="4" t="s">
        <v>116</v>
      </c>
      <c r="C19" s="19" t="n">
        <v>0.03</v>
      </c>
      <c r="D19" s="26" t="n">
        <v>0</v>
      </c>
      <c r="E19" s="27" t="n">
        <v>0.1</v>
      </c>
      <c r="F19" s="2" t="s">
        <v>329</v>
      </c>
      <c r="G19" s="2" t="s">
        <v>322</v>
      </c>
    </row>
    <row r="20" customFormat="false" ht="15" hidden="false" customHeight="false" outlineLevel="0" collapsed="false">
      <c r="A20" s="4" t="s">
        <v>295</v>
      </c>
      <c r="B20" s="4" t="s">
        <v>116</v>
      </c>
      <c r="C20" s="19" t="n">
        <v>0.02</v>
      </c>
      <c r="D20" s="26" t="n">
        <v>1E-005</v>
      </c>
      <c r="E20" s="27" t="n">
        <v>0.3</v>
      </c>
      <c r="F20" s="2" t="s">
        <v>330</v>
      </c>
      <c r="G20" s="2" t="s">
        <v>322</v>
      </c>
    </row>
    <row r="21" customFormat="false" ht="15" hidden="false" customHeight="false" outlineLevel="0" collapsed="false">
      <c r="A21" s="4" t="s">
        <v>298</v>
      </c>
      <c r="B21" s="4" t="s">
        <v>280</v>
      </c>
      <c r="C21" s="19" t="n">
        <v>8</v>
      </c>
      <c r="D21" s="26" t="n">
        <v>0.01</v>
      </c>
      <c r="E21" s="27" t="n">
        <v>60</v>
      </c>
      <c r="F21" s="2" t="s">
        <v>330</v>
      </c>
      <c r="G21" s="2" t="s">
        <v>322</v>
      </c>
    </row>
    <row r="22" customFormat="false" ht="15" hidden="false" customHeight="false" outlineLevel="0" collapsed="false">
      <c r="A22" s="4" t="s">
        <v>331</v>
      </c>
      <c r="B22" s="4" t="s">
        <v>280</v>
      </c>
      <c r="C22" s="19" t="n">
        <v>0</v>
      </c>
      <c r="D22" s="26" t="n">
        <v>1</v>
      </c>
      <c r="E22" s="27" t="n">
        <v>0</v>
      </c>
      <c r="F22" s="2"/>
      <c r="G22" s="2" t="s">
        <v>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
    <col collapsed="false" customWidth="true" hidden="false" outlineLevel="0" max="3" min="3" style="0" width="20"/>
    <col collapsed="false" customWidth="true" hidden="false" outlineLevel="0" max="4" min="4" style="0" width="26"/>
    <col collapsed="false" customWidth="true" hidden="false" outlineLevel="0" max="5" min="5" style="0" width="16"/>
  </cols>
  <sheetData>
    <row r="1" customFormat="false" ht="17.35" hidden="false" customHeight="false" outlineLevel="0" collapsed="false">
      <c r="A1" s="1" t="s">
        <v>332</v>
      </c>
    </row>
    <row r="2" customFormat="false" ht="15" hidden="false" customHeight="false" outlineLevel="0" collapsed="false">
      <c r="A2" s="2" t="s">
        <v>1</v>
      </c>
    </row>
    <row r="4" customFormat="false" ht="26.85" hidden="false" customHeight="false" outlineLevel="0" collapsed="false">
      <c r="A4" s="5" t="s">
        <v>98</v>
      </c>
      <c r="B4" s="5" t="s">
        <v>100</v>
      </c>
      <c r="C4" s="5" t="s">
        <v>259</v>
      </c>
      <c r="D4" s="5" t="s">
        <v>260</v>
      </c>
      <c r="E4" s="5" t="s">
        <v>333</v>
      </c>
    </row>
    <row r="5" customFormat="false" ht="15" hidden="false" customHeight="false" outlineLevel="0" collapsed="false">
      <c r="A5" s="8" t="s">
        <v>334</v>
      </c>
      <c r="B5" s="9"/>
      <c r="C5" s="9"/>
      <c r="D5" s="9"/>
      <c r="E5" s="9"/>
      <c r="F5" s="9"/>
    </row>
    <row r="6" customFormat="false" ht="15" hidden="false" customHeight="false" outlineLevel="0" collapsed="false">
      <c r="A6" s="4" t="s">
        <v>122</v>
      </c>
      <c r="B6" s="4" t="s">
        <v>335</v>
      </c>
      <c r="C6" s="22" t="n">
        <f aca="false">LCI!C11*Factors!$C$5</f>
        <v>22500</v>
      </c>
      <c r="D6" s="22" t="n">
        <f aca="false">LCI!D11*Factors!$C$5</f>
        <v>22500</v>
      </c>
      <c r="E6" s="28" t="n">
        <f aca="false">IFERROR(D6/D$24,0)</f>
        <v>0.177537764255099</v>
      </c>
    </row>
    <row r="7" customFormat="false" ht="15" hidden="false" customHeight="false" outlineLevel="0" collapsed="false">
      <c r="A7" s="4" t="s">
        <v>130</v>
      </c>
      <c r="B7" s="4" t="s">
        <v>335</v>
      </c>
      <c r="C7" s="22" t="n">
        <f aca="false">LCI!C12*Factors!$C$6</f>
        <v>10800</v>
      </c>
      <c r="D7" s="22" t="n">
        <f aca="false">LCI!D12*Factors!$C$6</f>
        <v>10800</v>
      </c>
      <c r="E7" s="28" t="n">
        <f aca="false">IFERROR(D7/D$24,0)</f>
        <v>0.0852181268424475</v>
      </c>
    </row>
    <row r="8" customFormat="false" ht="15" hidden="false" customHeight="false" outlineLevel="0" collapsed="false">
      <c r="A8" s="4" t="s">
        <v>134</v>
      </c>
      <c r="B8" s="4" t="s">
        <v>335</v>
      </c>
      <c r="C8" s="22" t="n">
        <f aca="false">LCI!C13*Factors!$C$7</f>
        <v>27000</v>
      </c>
      <c r="D8" s="22" t="n">
        <f aca="false">LCI!D13*Factors!$C$7</f>
        <v>27000</v>
      </c>
      <c r="E8" s="28" t="n">
        <f aca="false">IFERROR(D8/D$24,0)</f>
        <v>0.213045317106119</v>
      </c>
    </row>
    <row r="9" customFormat="false" ht="15" hidden="false" customHeight="false" outlineLevel="0" collapsed="false">
      <c r="A9" s="4" t="s">
        <v>138</v>
      </c>
      <c r="B9" s="4" t="s">
        <v>335</v>
      </c>
      <c r="C9" s="22" t="n">
        <f aca="false">LCI!C14*Factors!$C$8</f>
        <v>9000</v>
      </c>
      <c r="D9" s="22" t="n">
        <f aca="false">LCI!D14*Factors!$C$8</f>
        <v>9000</v>
      </c>
      <c r="E9" s="28" t="n">
        <f aca="false">IFERROR(D9/D$24,0)</f>
        <v>0.0710151057020396</v>
      </c>
    </row>
    <row r="10" customFormat="false" ht="15" hidden="false" customHeight="false" outlineLevel="0" collapsed="false">
      <c r="A10" s="4" t="s">
        <v>140</v>
      </c>
      <c r="B10" s="4" t="s">
        <v>335</v>
      </c>
      <c r="C10" s="22" t="n">
        <f aca="false">LCI!C15*Factors!$C$9</f>
        <v>15000</v>
      </c>
      <c r="D10" s="22" t="n">
        <f aca="false">LCI!D15*Factors!$C$9</f>
        <v>15000</v>
      </c>
      <c r="E10" s="28" t="n">
        <f aca="false">IFERROR(D10/D$24,0)</f>
        <v>0.118358509503399</v>
      </c>
    </row>
    <row r="11" customFormat="false" ht="15" hidden="false" customHeight="false" outlineLevel="0" collapsed="false">
      <c r="A11" s="4" t="s">
        <v>144</v>
      </c>
      <c r="B11" s="4" t="s">
        <v>335</v>
      </c>
      <c r="C11" s="22" t="n">
        <f aca="false">LCI!C16*Factors!$C$10</f>
        <v>20000</v>
      </c>
      <c r="D11" s="22" t="n">
        <f aca="false">LCI!D16*Factors!$C$10</f>
        <v>24000</v>
      </c>
      <c r="E11" s="28" t="n">
        <f aca="false">IFERROR(D11/D$24,0)</f>
        <v>0.189373615205439</v>
      </c>
    </row>
    <row r="12" customFormat="false" ht="15" hidden="false" customHeight="false" outlineLevel="0" collapsed="false">
      <c r="A12" s="4" t="s">
        <v>336</v>
      </c>
      <c r="B12" s="4" t="s">
        <v>335</v>
      </c>
      <c r="C12" s="22" t="n">
        <f aca="false">LCI!C17*Factors!$C$11</f>
        <v>1512</v>
      </c>
      <c r="D12" s="22" t="n">
        <f aca="false">LCI!D17*Factors!$C$11</f>
        <v>2016</v>
      </c>
      <c r="E12" s="28" t="n">
        <f aca="false">IFERROR(D12/D$24,0)</f>
        <v>0.0159073836772569</v>
      </c>
    </row>
    <row r="13" customFormat="false" ht="15" hidden="false" customHeight="false" outlineLevel="0" collapsed="false">
      <c r="A13" s="4" t="s">
        <v>154</v>
      </c>
      <c r="B13" s="4" t="s">
        <v>335</v>
      </c>
      <c r="C13" s="22" t="n">
        <f aca="false">LCI!C18*Factors!$C$12</f>
        <v>600</v>
      </c>
      <c r="D13" s="22" t="n">
        <f aca="false">LCI!D18*Factors!$C$12</f>
        <v>1600</v>
      </c>
      <c r="E13" s="28" t="n">
        <f aca="false">IFERROR(D13/D$24,0)</f>
        <v>0.0126249076803626</v>
      </c>
    </row>
    <row r="14" customFormat="false" ht="15" hidden="false" customHeight="false" outlineLevel="0" collapsed="false">
      <c r="A14" s="4" t="s">
        <v>159</v>
      </c>
      <c r="B14" s="4" t="s">
        <v>335</v>
      </c>
      <c r="C14" s="22" t="n">
        <f aca="false">LCI!C19*Factors!$C$13</f>
        <v>1440</v>
      </c>
      <c r="D14" s="22" t="n">
        <f aca="false">LCI!D19*Factors!$C$13</f>
        <v>4140</v>
      </c>
      <c r="E14" s="28" t="n">
        <f aca="false">IFERROR(D14/D$24,0)</f>
        <v>0.0326669486229382</v>
      </c>
    </row>
    <row r="15" customFormat="false" ht="15" hidden="false" customHeight="false" outlineLevel="0" collapsed="false">
      <c r="A15" s="4" t="s">
        <v>174</v>
      </c>
      <c r="B15" s="4" t="s">
        <v>335</v>
      </c>
      <c r="C15" s="22" t="n">
        <f aca="false">LCI!C26*Factors!$C$14</f>
        <v>0</v>
      </c>
      <c r="D15" s="22" t="n">
        <f aca="false">LCI!D26*Factors!$C$14</f>
        <v>0</v>
      </c>
      <c r="E15" s="28" t="n">
        <f aca="false">IFERROR(D15/D$24,0)</f>
        <v>0</v>
      </c>
    </row>
    <row r="16" customFormat="false" ht="15" hidden="false" customHeight="false" outlineLevel="0" collapsed="false">
      <c r="A16" s="4" t="s">
        <v>180</v>
      </c>
      <c r="B16" s="4" t="s">
        <v>335</v>
      </c>
      <c r="C16" s="22" t="n">
        <f aca="false">LCI!C27*Factors!$C$15</f>
        <v>0</v>
      </c>
      <c r="D16" s="22" t="n">
        <f aca="false">LCI!D27*Factors!$C$15</f>
        <v>0</v>
      </c>
      <c r="E16" s="28" t="n">
        <f aca="false">IFERROR(D16/D$24,0)</f>
        <v>0</v>
      </c>
    </row>
    <row r="17" customFormat="false" ht="15" hidden="false" customHeight="false" outlineLevel="0" collapsed="false">
      <c r="A17" s="4" t="s">
        <v>235</v>
      </c>
      <c r="B17" s="4" t="s">
        <v>335</v>
      </c>
      <c r="C17" s="22" t="n">
        <f aca="false">LCI!C28*Factors!$C$16</f>
        <v>7963.2</v>
      </c>
      <c r="D17" s="22" t="n">
        <f aca="false">LCI!D28*Factors!$C$16</f>
        <v>10617.6</v>
      </c>
      <c r="E17" s="28" t="n">
        <f aca="false">IFERROR(D17/D$24,0)</f>
        <v>0.0837788873668861</v>
      </c>
    </row>
    <row r="18" customFormat="false" ht="15" hidden="false" customHeight="false" outlineLevel="0" collapsed="false">
      <c r="A18" s="4" t="s">
        <v>337</v>
      </c>
      <c r="B18" s="4" t="s">
        <v>335</v>
      </c>
      <c r="C18" s="22" t="n">
        <f aca="false">LCI!C33*Factors!$C$17</f>
        <v>0</v>
      </c>
      <c r="D18" s="22" t="n">
        <f aca="false">LCI!D33*Factors!$C$17</f>
        <v>40</v>
      </c>
      <c r="E18" s="28" t="n">
        <f aca="false">IFERROR(D18/D$24,0)</f>
        <v>0.000315622692009065</v>
      </c>
    </row>
    <row r="19" customFormat="false" ht="15" hidden="false" customHeight="false" outlineLevel="0" collapsed="false">
      <c r="A19" s="4" t="s">
        <v>338</v>
      </c>
      <c r="B19" s="4" t="s">
        <v>335</v>
      </c>
      <c r="C19" s="22" t="n">
        <f aca="false">LCI!C34*Factors!$C$18</f>
        <v>0</v>
      </c>
      <c r="D19" s="22" t="n">
        <f aca="false">LCI!D34*Factors!$C$18</f>
        <v>120</v>
      </c>
      <c r="E19" s="28" t="n">
        <f aca="false">IFERROR(D19/D$24,0)</f>
        <v>0.000946868076027194</v>
      </c>
    </row>
    <row r="20" customFormat="false" ht="15" hidden="false" customHeight="false" outlineLevel="0" collapsed="false">
      <c r="A20" s="4" t="s">
        <v>339</v>
      </c>
      <c r="B20" s="4" t="s">
        <v>335</v>
      </c>
      <c r="C20" s="22" t="n">
        <f aca="false">LCI!C35*Factors!$C$19</f>
        <v>0</v>
      </c>
      <c r="D20" s="22" t="n">
        <f aca="false">LCI!D35*Factors!$C$19</f>
        <v>300</v>
      </c>
      <c r="E20" s="28" t="n">
        <f aca="false">IFERROR(D20/D$24,0)</f>
        <v>0.00236717019006799</v>
      </c>
    </row>
    <row r="21" customFormat="false" ht="15" hidden="false" customHeight="false" outlineLevel="0" collapsed="false">
      <c r="A21" s="4" t="s">
        <v>340</v>
      </c>
      <c r="B21" s="4" t="s">
        <v>335</v>
      </c>
      <c r="C21" s="22" t="n">
        <f aca="false">LCI!C36*Factors!$C$20</f>
        <v>-0</v>
      </c>
      <c r="D21" s="22" t="n">
        <f aca="false">LCI!D36*Factors!$C$20</f>
        <v>-200</v>
      </c>
      <c r="E21" s="28" t="n">
        <f aca="false">IFERROR(D21/D$24,0)</f>
        <v>-0.00157811346004532</v>
      </c>
    </row>
    <row r="22" customFormat="false" ht="15" hidden="false" customHeight="false" outlineLevel="0" collapsed="false">
      <c r="A22" s="4" t="s">
        <v>341</v>
      </c>
      <c r="B22" s="4" t="s">
        <v>335</v>
      </c>
      <c r="C22" s="22" t="n">
        <f aca="false">LCI!C37*Factors!$C$21</f>
        <v>-0</v>
      </c>
      <c r="D22" s="22" t="n">
        <f aca="false">LCI!D37*Factors!$C$21</f>
        <v>-200</v>
      </c>
      <c r="E22" s="28" t="n">
        <f aca="false">IFERROR(D22/D$24,0)</f>
        <v>-0.00157811346004532</v>
      </c>
    </row>
    <row r="23" customFormat="false" ht="15" hidden="false" customHeight="false" outlineLevel="0" collapsed="false">
      <c r="A23" s="4" t="s">
        <v>342</v>
      </c>
      <c r="B23" s="4" t="s">
        <v>335</v>
      </c>
      <c r="C23" s="22" t="n">
        <f aca="false">LCI!C38*Factors!$C$22</f>
        <v>0</v>
      </c>
      <c r="D23" s="22" t="n">
        <f aca="false">LCI!D38*Factors!$C$22</f>
        <v>0</v>
      </c>
      <c r="E23" s="28" t="n">
        <f aca="false">IFERROR(D23/D$24,0)</f>
        <v>0</v>
      </c>
    </row>
    <row r="24" customFormat="false" ht="15" hidden="false" customHeight="false" outlineLevel="0" collapsed="false">
      <c r="A24" s="3" t="s">
        <v>343</v>
      </c>
      <c r="B24" s="3" t="s">
        <v>335</v>
      </c>
      <c r="C24" s="24" t="n">
        <f aca="false">SUM(C6:C23)</f>
        <v>115815.2</v>
      </c>
      <c r="D24" s="24" t="n">
        <f aca="false">SUM(D6:D23)</f>
        <v>126733.6</v>
      </c>
    </row>
    <row r="25" customFormat="false" ht="15" hidden="false" customHeight="false" outlineLevel="0" collapsed="false">
      <c r="A25" s="2" t="s">
        <v>344</v>
      </c>
      <c r="C25" s="29" t="n">
        <f aca="false">SUM(C6:C10)</f>
        <v>84300</v>
      </c>
      <c r="D25" s="29" t="n">
        <f aca="false">SUM(D6:D10)</f>
        <v>84300</v>
      </c>
      <c r="E25" s="28" t="n">
        <f aca="false">IFERROR(D25/D24,0)</f>
        <v>0.665174823409104</v>
      </c>
    </row>
    <row r="27" customFormat="false" ht="15" hidden="false" customHeight="false" outlineLevel="0" collapsed="false">
      <c r="A27" s="8" t="s">
        <v>345</v>
      </c>
      <c r="B27" s="9"/>
      <c r="C27" s="9"/>
      <c r="D27" s="9"/>
      <c r="E27" s="9"/>
      <c r="F27" s="9"/>
    </row>
    <row r="28" customFormat="false" ht="15" hidden="false" customHeight="false" outlineLevel="0" collapsed="false">
      <c r="A28" s="4" t="s">
        <v>122</v>
      </c>
      <c r="B28" s="4" t="s">
        <v>346</v>
      </c>
      <c r="C28" s="22" t="n">
        <f aca="false">LCI!C11*Factors!$D$5</f>
        <v>300</v>
      </c>
      <c r="D28" s="22" t="n">
        <f aca="false">LCI!D11*Factors!$D$5</f>
        <v>300</v>
      </c>
      <c r="E28" s="28" t="n">
        <f aca="false">IFERROR(D28/D$46,0)</f>
        <v>0.0693946473595337</v>
      </c>
    </row>
    <row r="29" customFormat="false" ht="15" hidden="false" customHeight="false" outlineLevel="0" collapsed="false">
      <c r="A29" s="4" t="s">
        <v>130</v>
      </c>
      <c r="B29" s="4" t="s">
        <v>346</v>
      </c>
      <c r="C29" s="22" t="n">
        <f aca="false">LCI!C12*Factors!$D$6</f>
        <v>120</v>
      </c>
      <c r="D29" s="22" t="n">
        <f aca="false">LCI!D12*Factors!$D$6</f>
        <v>120</v>
      </c>
      <c r="E29" s="28" t="n">
        <f aca="false">IFERROR(D29/D$46,0)</f>
        <v>0.0277578589438135</v>
      </c>
    </row>
    <row r="30" customFormat="false" ht="15" hidden="false" customHeight="false" outlineLevel="0" collapsed="false">
      <c r="A30" s="4" t="s">
        <v>134</v>
      </c>
      <c r="B30" s="4" t="s">
        <v>346</v>
      </c>
      <c r="C30" s="22" t="n">
        <f aca="false">LCI!C13*Factors!$D$7</f>
        <v>720</v>
      </c>
      <c r="D30" s="22" t="n">
        <f aca="false">LCI!D13*Factors!$D$7</f>
        <v>720</v>
      </c>
      <c r="E30" s="28" t="n">
        <f aca="false">IFERROR(D30/D$46,0)</f>
        <v>0.166547153662881</v>
      </c>
    </row>
    <row r="31" customFormat="false" ht="15" hidden="false" customHeight="false" outlineLevel="0" collapsed="false">
      <c r="A31" s="4" t="s">
        <v>138</v>
      </c>
      <c r="B31" s="4" t="s">
        <v>346</v>
      </c>
      <c r="C31" s="22" t="n">
        <f aca="false">LCI!C14*Factors!$D$8</f>
        <v>450</v>
      </c>
      <c r="D31" s="22" t="n">
        <f aca="false">LCI!D14*Factors!$D$8</f>
        <v>450</v>
      </c>
      <c r="E31" s="28" t="n">
        <f aca="false">IFERROR(D31/D$46,0)</f>
        <v>0.104091971039301</v>
      </c>
    </row>
    <row r="32" customFormat="false" ht="15" hidden="false" customHeight="false" outlineLevel="0" collapsed="false">
      <c r="A32" s="4" t="s">
        <v>140</v>
      </c>
      <c r="B32" s="4" t="s">
        <v>346</v>
      </c>
      <c r="C32" s="22" t="n">
        <f aca="false">LCI!C15*Factors!$D$9</f>
        <v>240</v>
      </c>
      <c r="D32" s="22" t="n">
        <f aca="false">LCI!D15*Factors!$D$9</f>
        <v>240</v>
      </c>
      <c r="E32" s="28" t="n">
        <f aca="false">IFERROR(D32/D$46,0)</f>
        <v>0.0555157178876269</v>
      </c>
    </row>
    <row r="33" customFormat="false" ht="15" hidden="false" customHeight="false" outlineLevel="0" collapsed="false">
      <c r="A33" s="4" t="s">
        <v>144</v>
      </c>
      <c r="B33" s="4" t="s">
        <v>346</v>
      </c>
      <c r="C33" s="22" t="n">
        <f aca="false">LCI!C16*Factors!$D$10</f>
        <v>20</v>
      </c>
      <c r="D33" s="22" t="n">
        <f aca="false">LCI!D16*Factors!$D$10</f>
        <v>24</v>
      </c>
      <c r="E33" s="28" t="n">
        <f aca="false">IFERROR(D33/D$46,0)</f>
        <v>0.00555157178876269</v>
      </c>
    </row>
    <row r="34" customFormat="false" ht="15" hidden="false" customHeight="false" outlineLevel="0" collapsed="false">
      <c r="A34" s="4" t="s">
        <v>336</v>
      </c>
      <c r="B34" s="4" t="s">
        <v>346</v>
      </c>
      <c r="C34" s="22" t="n">
        <f aca="false">LCI!C17*Factors!$D$11</f>
        <v>2.52</v>
      </c>
      <c r="D34" s="22" t="n">
        <f aca="false">LCI!D17*Factors!$D$11</f>
        <v>3.36</v>
      </c>
      <c r="E34" s="28" t="n">
        <f aca="false">IFERROR(D34/D$46,0)</f>
        <v>0.000777220050426777</v>
      </c>
    </row>
    <row r="35" customFormat="false" ht="15" hidden="false" customHeight="false" outlineLevel="0" collapsed="false">
      <c r="A35" s="4" t="s">
        <v>154</v>
      </c>
      <c r="B35" s="4" t="s">
        <v>346</v>
      </c>
      <c r="C35" s="22" t="n">
        <f aca="false">LCI!C18*Factors!$D$12</f>
        <v>0.15</v>
      </c>
      <c r="D35" s="22" t="n">
        <f aca="false">LCI!D18*Factors!$D$12</f>
        <v>0.4</v>
      </c>
      <c r="E35" s="28" t="n">
        <f aca="false">IFERROR(D35/D$46,0)</f>
        <v>9.25261964793782E-005</v>
      </c>
    </row>
    <row r="36" customFormat="false" ht="15" hidden="false" customHeight="false" outlineLevel="0" collapsed="false">
      <c r="A36" s="4" t="s">
        <v>159</v>
      </c>
      <c r="B36" s="4" t="s">
        <v>346</v>
      </c>
      <c r="C36" s="22" t="n">
        <f aca="false">LCI!C19*Factors!$D$13</f>
        <v>3.6</v>
      </c>
      <c r="D36" s="22" t="n">
        <f aca="false">LCI!D19*Factors!$D$13</f>
        <v>10.35</v>
      </c>
      <c r="E36" s="28" t="n">
        <f aca="false">IFERROR(D36/D$46,0)</f>
        <v>0.00239411533390391</v>
      </c>
    </row>
    <row r="37" customFormat="false" ht="15" hidden="false" customHeight="false" outlineLevel="0" collapsed="false">
      <c r="A37" s="4" t="s">
        <v>174</v>
      </c>
      <c r="B37" s="4" t="s">
        <v>346</v>
      </c>
      <c r="C37" s="22" t="n">
        <f aca="false">LCI!C26*Factors!$D$14</f>
        <v>3000</v>
      </c>
      <c r="D37" s="22" t="n">
        <f aca="false">LCI!D26*Factors!$D$14</f>
        <v>2450</v>
      </c>
      <c r="E37" s="28" t="n">
        <f aca="false">IFERROR(D37/D$46,0)</f>
        <v>0.566722953436192</v>
      </c>
    </row>
    <row r="38" customFormat="false" ht="15" hidden="false" customHeight="false" outlineLevel="0" collapsed="false">
      <c r="A38" s="4" t="s">
        <v>180</v>
      </c>
      <c r="B38" s="4" t="s">
        <v>346</v>
      </c>
      <c r="C38" s="22" t="n">
        <f aca="false">LCI!C27*Factors!$D$15</f>
        <v>0</v>
      </c>
      <c r="D38" s="22" t="n">
        <f aca="false">LCI!D27*Factors!$D$15</f>
        <v>0</v>
      </c>
      <c r="E38" s="28" t="n">
        <f aca="false">IFERROR(D38/D$46,0)</f>
        <v>0</v>
      </c>
    </row>
    <row r="39" customFormat="false" ht="15" hidden="false" customHeight="false" outlineLevel="0" collapsed="false">
      <c r="A39" s="4" t="s">
        <v>235</v>
      </c>
      <c r="B39" s="4" t="s">
        <v>346</v>
      </c>
      <c r="C39" s="22" t="n">
        <f aca="false">LCI!C28*Factors!$D$16</f>
        <v>0</v>
      </c>
      <c r="D39" s="22" t="n">
        <f aca="false">LCI!D28*Factors!$D$16</f>
        <v>0</v>
      </c>
      <c r="E39" s="28" t="n">
        <f aca="false">IFERROR(D39/D$46,0)</f>
        <v>0</v>
      </c>
    </row>
    <row r="40" customFormat="false" ht="15" hidden="false" customHeight="false" outlineLevel="0" collapsed="false">
      <c r="A40" s="4" t="s">
        <v>337</v>
      </c>
      <c r="B40" s="4" t="s">
        <v>346</v>
      </c>
      <c r="C40" s="22" t="n">
        <f aca="false">LCI!C33*Factors!$D$17</f>
        <v>0</v>
      </c>
      <c r="D40" s="22" t="n">
        <f aca="false">LCI!D33*Factors!$D$17</f>
        <v>0.04</v>
      </c>
      <c r="E40" s="28" t="n">
        <f aca="false">IFERROR(D40/D$46,0)</f>
        <v>9.25261964793782E-006</v>
      </c>
    </row>
    <row r="41" customFormat="false" ht="15" hidden="false" customHeight="false" outlineLevel="0" collapsed="false">
      <c r="A41" s="4" t="s">
        <v>338</v>
      </c>
      <c r="B41" s="4" t="s">
        <v>346</v>
      </c>
      <c r="C41" s="22" t="n">
        <f aca="false">LCI!C34*Factors!$D$18</f>
        <v>0</v>
      </c>
      <c r="D41" s="22" t="n">
        <f aca="false">LCI!D34*Factors!$D$18</f>
        <v>0.3</v>
      </c>
      <c r="E41" s="28" t="n">
        <f aca="false">IFERROR(D41/D$46,0)</f>
        <v>6.93946473595337E-005</v>
      </c>
    </row>
    <row r="42" customFormat="false" ht="15" hidden="false" customHeight="false" outlineLevel="0" collapsed="false">
      <c r="A42" s="4" t="s">
        <v>339</v>
      </c>
      <c r="B42" s="4" t="s">
        <v>346</v>
      </c>
      <c r="C42" s="22" t="n">
        <f aca="false">LCI!C35*Factors!$D$19</f>
        <v>0</v>
      </c>
      <c r="D42" s="22" t="n">
        <f aca="false">LCI!D35*Factors!$D$19</f>
        <v>0</v>
      </c>
      <c r="E42" s="28" t="n">
        <f aca="false">IFERROR(D42/D$46,0)</f>
        <v>0</v>
      </c>
    </row>
    <row r="43" customFormat="false" ht="15" hidden="false" customHeight="false" outlineLevel="0" collapsed="false">
      <c r="A43" s="4" t="s">
        <v>340</v>
      </c>
      <c r="B43" s="4" t="s">
        <v>346</v>
      </c>
      <c r="C43" s="22" t="n">
        <f aca="false">LCI!C36*Factors!$D$20</f>
        <v>-0</v>
      </c>
      <c r="D43" s="22" t="n">
        <f aca="false">LCI!D36*Factors!$D$20</f>
        <v>-0.1</v>
      </c>
      <c r="E43" s="28" t="n">
        <f aca="false">IFERROR(D43/D$46,0)</f>
        <v>-2.31315491198446E-005</v>
      </c>
    </row>
    <row r="44" customFormat="false" ht="15" hidden="false" customHeight="false" outlineLevel="0" collapsed="false">
      <c r="A44" s="4" t="s">
        <v>341</v>
      </c>
      <c r="B44" s="4" t="s">
        <v>346</v>
      </c>
      <c r="C44" s="22" t="n">
        <f aca="false">LCI!C37*Factors!$D$21</f>
        <v>-0</v>
      </c>
      <c r="D44" s="22" t="n">
        <f aca="false">LCI!D37*Factors!$D$21</f>
        <v>-0.25</v>
      </c>
      <c r="E44" s="28" t="n">
        <f aca="false">IFERROR(D44/D$46,0)</f>
        <v>-5.78288727996114E-005</v>
      </c>
    </row>
    <row r="45" customFormat="false" ht="15" hidden="false" customHeight="false" outlineLevel="0" collapsed="false">
      <c r="A45" s="4" t="s">
        <v>342</v>
      </c>
      <c r="B45" s="4" t="s">
        <v>346</v>
      </c>
      <c r="C45" s="22" t="n">
        <f aca="false">LCI!C38*Factors!$D$22</f>
        <v>0</v>
      </c>
      <c r="D45" s="22" t="n">
        <f aca="false">LCI!D38*Factors!$D$22</f>
        <v>5</v>
      </c>
      <c r="E45" s="28" t="n">
        <f aca="false">IFERROR(D45/D$46,0)</f>
        <v>0.00115657745599223</v>
      </c>
    </row>
    <row r="46" customFormat="false" ht="15" hidden="false" customHeight="false" outlineLevel="0" collapsed="false">
      <c r="A46" s="3" t="s">
        <v>347</v>
      </c>
      <c r="B46" s="3" t="s">
        <v>346</v>
      </c>
      <c r="C46" s="24" t="n">
        <f aca="false">SUM(C28:C45)</f>
        <v>4856.27</v>
      </c>
      <c r="D46" s="24" t="n">
        <f aca="false">SUM(D28:D45)</f>
        <v>4323.1</v>
      </c>
    </row>
    <row r="47" customFormat="false" ht="15" hidden="false" customHeight="false" outlineLevel="0" collapsed="false">
      <c r="A47" s="2" t="s">
        <v>344</v>
      </c>
      <c r="C47" s="29" t="n">
        <f aca="false">SUM(C28:C32)</f>
        <v>1830</v>
      </c>
      <c r="D47" s="29" t="n">
        <f aca="false">SUM(D28:D32)</f>
        <v>1830</v>
      </c>
      <c r="E47" s="28" t="n">
        <f aca="false">IFERROR(D47/D46,0)</f>
        <v>0.423307348893155</v>
      </c>
    </row>
    <row r="49" customFormat="false" ht="15" hidden="false" customHeight="false" outlineLevel="0" collapsed="false">
      <c r="A49" s="8" t="s">
        <v>348</v>
      </c>
      <c r="B49" s="9"/>
      <c r="C49" s="9"/>
      <c r="D49" s="9"/>
      <c r="E49" s="9"/>
      <c r="F49" s="9"/>
    </row>
    <row r="50" customFormat="false" ht="15" hidden="false" customHeight="false" outlineLevel="0" collapsed="false">
      <c r="A50" s="4" t="s">
        <v>122</v>
      </c>
      <c r="B50" s="4" t="s">
        <v>349</v>
      </c>
      <c r="C50" s="22" t="n">
        <f aca="false">LCI!C11*Factors!$E$5</f>
        <v>300000</v>
      </c>
      <c r="D50" s="22" t="n">
        <f aca="false">LCI!D11*Factors!$E$5</f>
        <v>300000</v>
      </c>
      <c r="E50" s="28" t="n">
        <f aca="false">IFERROR(D50/D$68,0)</f>
        <v>0.141096792399586</v>
      </c>
    </row>
    <row r="51" customFormat="false" ht="15" hidden="false" customHeight="false" outlineLevel="0" collapsed="false">
      <c r="A51" s="4" t="s">
        <v>130</v>
      </c>
      <c r="B51" s="4" t="s">
        <v>349</v>
      </c>
      <c r="C51" s="22" t="n">
        <f aca="false">LCI!C12*Factors!$E$6</f>
        <v>132000</v>
      </c>
      <c r="D51" s="22" t="n">
        <f aca="false">LCI!D12*Factors!$E$6</f>
        <v>132000</v>
      </c>
      <c r="E51" s="28" t="n">
        <f aca="false">IFERROR(D51/D$68,0)</f>
        <v>0.0620825886558179</v>
      </c>
    </row>
    <row r="52" customFormat="false" ht="15" hidden="false" customHeight="false" outlineLevel="0" collapsed="false">
      <c r="A52" s="4" t="s">
        <v>134</v>
      </c>
      <c r="B52" s="4" t="s">
        <v>349</v>
      </c>
      <c r="C52" s="22" t="n">
        <f aca="false">LCI!C13*Factors!$E$7</f>
        <v>144000</v>
      </c>
      <c r="D52" s="22" t="n">
        <f aca="false">LCI!D13*Factors!$E$7</f>
        <v>144000</v>
      </c>
      <c r="E52" s="28" t="n">
        <f aca="false">IFERROR(D52/D$68,0)</f>
        <v>0.0677264603518013</v>
      </c>
    </row>
    <row r="53" customFormat="false" ht="15" hidden="false" customHeight="false" outlineLevel="0" collapsed="false">
      <c r="A53" s="4" t="s">
        <v>138</v>
      </c>
      <c r="B53" s="4" t="s">
        <v>349</v>
      </c>
      <c r="C53" s="22" t="n">
        <f aca="false">LCI!C14*Factors!$E$8</f>
        <v>60000</v>
      </c>
      <c r="D53" s="22" t="n">
        <f aca="false">LCI!D14*Factors!$E$8</f>
        <v>60000</v>
      </c>
      <c r="E53" s="28" t="n">
        <f aca="false">IFERROR(D53/D$68,0)</f>
        <v>0.0282193584799172</v>
      </c>
    </row>
    <row r="54" customFormat="false" ht="15" hidden="false" customHeight="false" outlineLevel="0" collapsed="false">
      <c r="A54" s="4" t="s">
        <v>140</v>
      </c>
      <c r="B54" s="4" t="s">
        <v>349</v>
      </c>
      <c r="C54" s="22" t="n">
        <f aca="false">LCI!C15*Factors!$E$9</f>
        <v>120000</v>
      </c>
      <c r="D54" s="22" t="n">
        <f aca="false">LCI!D15*Factors!$E$9</f>
        <v>120000</v>
      </c>
      <c r="E54" s="28" t="n">
        <f aca="false">IFERROR(D54/D$68,0)</f>
        <v>0.0564387169598345</v>
      </c>
    </row>
    <row r="55" customFormat="false" ht="15" hidden="false" customHeight="false" outlineLevel="0" collapsed="false">
      <c r="A55" s="4" t="s">
        <v>144</v>
      </c>
      <c r="B55" s="4" t="s">
        <v>349</v>
      </c>
      <c r="C55" s="22" t="n">
        <f aca="false">LCI!C16*Factors!$E$10</f>
        <v>900000</v>
      </c>
      <c r="D55" s="22" t="n">
        <f aca="false">LCI!D16*Factors!$E$10</f>
        <v>1080000</v>
      </c>
      <c r="E55" s="28" t="n">
        <f aca="false">IFERROR(D55/D$68,0)</f>
        <v>0.50794845263851</v>
      </c>
    </row>
    <row r="56" customFormat="false" ht="15" hidden="false" customHeight="false" outlineLevel="0" collapsed="false">
      <c r="A56" s="4" t="s">
        <v>336</v>
      </c>
      <c r="B56" s="4" t="s">
        <v>349</v>
      </c>
      <c r="C56" s="22" t="n">
        <f aca="false">LCI!C17*Factors!$E$11</f>
        <v>126000</v>
      </c>
      <c r="D56" s="22" t="n">
        <f aca="false">LCI!D17*Factors!$E$11</f>
        <v>168000</v>
      </c>
      <c r="E56" s="28" t="n">
        <f aca="false">IFERROR(D56/D$68,0)</f>
        <v>0.0790142037437682</v>
      </c>
    </row>
    <row r="57" customFormat="false" ht="15" hidden="false" customHeight="false" outlineLevel="0" collapsed="false">
      <c r="A57" s="4" t="s">
        <v>154</v>
      </c>
      <c r="B57" s="4" t="s">
        <v>349</v>
      </c>
      <c r="C57" s="22" t="n">
        <f aca="false">LCI!C18*Factors!$E$12</f>
        <v>22500</v>
      </c>
      <c r="D57" s="22" t="n">
        <f aca="false">LCI!D18*Factors!$E$12</f>
        <v>60000</v>
      </c>
      <c r="E57" s="28" t="n">
        <f aca="false">IFERROR(D57/D$68,0)</f>
        <v>0.0282193584799172</v>
      </c>
    </row>
    <row r="58" customFormat="false" ht="15" hidden="false" customHeight="false" outlineLevel="0" collapsed="false">
      <c r="A58" s="4" t="s">
        <v>159</v>
      </c>
      <c r="B58" s="4" t="s">
        <v>349</v>
      </c>
      <c r="C58" s="22" t="n">
        <f aca="false">LCI!C19*Factors!$E$13</f>
        <v>21600</v>
      </c>
      <c r="D58" s="22" t="n">
        <f aca="false">LCI!D19*Factors!$E$13</f>
        <v>62100</v>
      </c>
      <c r="E58" s="28" t="n">
        <f aca="false">IFERROR(D58/D$68,0)</f>
        <v>0.0292070360267143</v>
      </c>
    </row>
    <row r="59" customFormat="false" ht="15" hidden="false" customHeight="false" outlineLevel="0" collapsed="false">
      <c r="A59" s="4" t="s">
        <v>174</v>
      </c>
      <c r="B59" s="4" t="s">
        <v>349</v>
      </c>
      <c r="C59" s="22" t="n">
        <f aca="false">LCI!C26*Factors!$E$14</f>
        <v>0</v>
      </c>
      <c r="D59" s="22" t="n">
        <f aca="false">LCI!D26*Factors!$E$14</f>
        <v>0</v>
      </c>
      <c r="E59" s="28" t="n">
        <f aca="false">IFERROR(D59/D$68,0)</f>
        <v>0</v>
      </c>
    </row>
    <row r="60" customFormat="false" ht="15" hidden="false" customHeight="false" outlineLevel="0" collapsed="false">
      <c r="A60" s="4" t="s">
        <v>180</v>
      </c>
      <c r="B60" s="4" t="s">
        <v>349</v>
      </c>
      <c r="C60" s="22" t="n">
        <f aca="false">LCI!C27*Factors!$E$15</f>
        <v>0</v>
      </c>
      <c r="D60" s="22" t="n">
        <f aca="false">LCI!D27*Factors!$E$15</f>
        <v>0</v>
      </c>
      <c r="E60" s="28" t="n">
        <f aca="false">IFERROR(D60/D$68,0)</f>
        <v>0</v>
      </c>
    </row>
    <row r="61" customFormat="false" ht="15" hidden="false" customHeight="false" outlineLevel="0" collapsed="false">
      <c r="A61" s="4" t="s">
        <v>235</v>
      </c>
      <c r="B61" s="4" t="s">
        <v>349</v>
      </c>
      <c r="C61" s="22" t="n">
        <f aca="false">LCI!C28*Factors!$E$16</f>
        <v>0</v>
      </c>
      <c r="D61" s="22" t="n">
        <f aca="false">LCI!D28*Factors!$E$16</f>
        <v>0</v>
      </c>
      <c r="E61" s="28" t="n">
        <f aca="false">IFERROR(D61/D$68,0)</f>
        <v>0</v>
      </c>
    </row>
    <row r="62" customFormat="false" ht="15" hidden="false" customHeight="false" outlineLevel="0" collapsed="false">
      <c r="A62" s="4" t="s">
        <v>337</v>
      </c>
      <c r="B62" s="4" t="s">
        <v>349</v>
      </c>
      <c r="C62" s="22" t="n">
        <f aca="false">LCI!C33*Factors!$E$17</f>
        <v>0</v>
      </c>
      <c r="D62" s="22" t="n">
        <f aca="false">LCI!D33*Factors!$E$17</f>
        <v>1800</v>
      </c>
      <c r="E62" s="28" t="n">
        <f aca="false">IFERROR(D62/D$68,0)</f>
        <v>0.000846580754397517</v>
      </c>
    </row>
    <row r="63" customFormat="false" ht="15" hidden="false" customHeight="false" outlineLevel="0" collapsed="false">
      <c r="A63" s="4" t="s">
        <v>338</v>
      </c>
      <c r="B63" s="4" t="s">
        <v>349</v>
      </c>
      <c r="C63" s="22" t="n">
        <f aca="false">LCI!C34*Factors!$E$18</f>
        <v>0</v>
      </c>
      <c r="D63" s="22" t="n">
        <f aca="false">LCI!D34*Factors!$E$18</f>
        <v>1800</v>
      </c>
      <c r="E63" s="28" t="n">
        <f aca="false">IFERROR(D63/D$68,0)</f>
        <v>0.000846580754397517</v>
      </c>
    </row>
    <row r="64" customFormat="false" ht="15" hidden="false" customHeight="false" outlineLevel="0" collapsed="false">
      <c r="A64" s="4" t="s">
        <v>339</v>
      </c>
      <c r="B64" s="4" t="s">
        <v>349</v>
      </c>
      <c r="C64" s="22" t="n">
        <f aca="false">LCI!C35*Factors!$E$19</f>
        <v>0</v>
      </c>
      <c r="D64" s="22" t="n">
        <f aca="false">LCI!D35*Factors!$E$19</f>
        <v>1000</v>
      </c>
      <c r="E64" s="28" t="n">
        <f aca="false">IFERROR(D64/D$68,0)</f>
        <v>0.000470322641331954</v>
      </c>
    </row>
    <row r="65" customFormat="false" ht="15" hidden="false" customHeight="false" outlineLevel="0" collapsed="false">
      <c r="A65" s="4" t="s">
        <v>340</v>
      </c>
      <c r="B65" s="4" t="s">
        <v>349</v>
      </c>
      <c r="C65" s="22" t="n">
        <f aca="false">LCI!C36*Factors!$E$20</f>
        <v>-0</v>
      </c>
      <c r="D65" s="22" t="n">
        <f aca="false">LCI!D36*Factors!$E$20</f>
        <v>-3000</v>
      </c>
      <c r="E65" s="28" t="n">
        <f aca="false">IFERROR(D65/D$68,0)</f>
        <v>-0.00141096792399586</v>
      </c>
    </row>
    <row r="66" customFormat="false" ht="15" hidden="false" customHeight="false" outlineLevel="0" collapsed="false">
      <c r="A66" s="4" t="s">
        <v>341</v>
      </c>
      <c r="B66" s="4" t="s">
        <v>349</v>
      </c>
      <c r="C66" s="22" t="n">
        <f aca="false">LCI!C37*Factors!$E$21</f>
        <v>-0</v>
      </c>
      <c r="D66" s="22" t="n">
        <f aca="false">LCI!D37*Factors!$E$21</f>
        <v>-1500</v>
      </c>
      <c r="E66" s="28" t="n">
        <f aca="false">IFERROR(D66/D$68,0)</f>
        <v>-0.000705483961997931</v>
      </c>
    </row>
    <row r="67" customFormat="false" ht="15" hidden="false" customHeight="false" outlineLevel="0" collapsed="false">
      <c r="A67" s="4" t="s">
        <v>342</v>
      </c>
      <c r="B67" s="4" t="s">
        <v>349</v>
      </c>
      <c r="C67" s="22" t="n">
        <f aca="false">LCI!C38*Factors!$E$22</f>
        <v>0</v>
      </c>
      <c r="D67" s="22" t="n">
        <f aca="false">LCI!D38*Factors!$E$22</f>
        <v>0</v>
      </c>
      <c r="E67" s="28" t="n">
        <f aca="false">IFERROR(D67/D$68,0)</f>
        <v>0</v>
      </c>
    </row>
    <row r="68" customFormat="false" ht="15" hidden="false" customHeight="false" outlineLevel="0" collapsed="false">
      <c r="A68" s="3" t="s">
        <v>350</v>
      </c>
      <c r="B68" s="3" t="s">
        <v>349</v>
      </c>
      <c r="C68" s="24" t="n">
        <f aca="false">SUM(C50:C67)</f>
        <v>1826100</v>
      </c>
      <c r="D68" s="24" t="n">
        <f aca="false">SUM(D50:D67)</f>
        <v>2126200</v>
      </c>
    </row>
    <row r="69" customFormat="false" ht="15" hidden="false" customHeight="false" outlineLevel="0" collapsed="false">
      <c r="A69" s="2" t="s">
        <v>344</v>
      </c>
      <c r="C69" s="29" t="n">
        <f aca="false">SUM(C50:C54)</f>
        <v>756000</v>
      </c>
      <c r="D69" s="29" t="n">
        <f aca="false">SUM(D50:D54)</f>
        <v>756000</v>
      </c>
      <c r="E69" s="28" t="n">
        <f aca="false">IFERROR(D69/D68,0)</f>
        <v>0.355563916846957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0"/>
    <col collapsed="false" customWidth="true" hidden="false" outlineLevel="0" max="3" min="3" style="0" width="26"/>
    <col collapsed="false" customWidth="true" hidden="false" outlineLevel="0" max="5" min="4" style="0" width="10"/>
  </cols>
  <sheetData>
    <row r="1" customFormat="false" ht="17.35" hidden="false" customHeight="false" outlineLevel="0" collapsed="false">
      <c r="A1" s="1" t="s">
        <v>351</v>
      </c>
    </row>
    <row r="2" customFormat="false" ht="15" hidden="false" customHeight="false" outlineLevel="0" collapsed="false">
      <c r="A2" s="2" t="s">
        <v>1</v>
      </c>
    </row>
    <row r="4" customFormat="false" ht="15" hidden="false" customHeight="false" outlineLevel="0" collapsed="false">
      <c r="A4" s="8" t="s">
        <v>352</v>
      </c>
      <c r="B4" s="9"/>
      <c r="C4" s="9"/>
      <c r="D4" s="9"/>
      <c r="E4" s="9"/>
      <c r="F4" s="9"/>
    </row>
    <row r="5" customFormat="false" ht="26.85" hidden="false" customHeight="false" outlineLevel="0" collapsed="false">
      <c r="A5" s="5" t="s">
        <v>353</v>
      </c>
      <c r="B5" s="5" t="s">
        <v>259</v>
      </c>
      <c r="C5" s="5" t="s">
        <v>260</v>
      </c>
      <c r="D5" s="5" t="s">
        <v>354</v>
      </c>
      <c r="E5" s="5" t="s">
        <v>355</v>
      </c>
    </row>
    <row r="6" customFormat="false" ht="15" hidden="false" customHeight="false" outlineLevel="0" collapsed="false">
      <c r="A6" s="4" t="s">
        <v>356</v>
      </c>
      <c r="B6" s="30" t="n">
        <f aca="false">LCIA!C6+LCIA!C7+LCIA!C8+LCIA!C9+LCIA!C10</f>
        <v>84300</v>
      </c>
      <c r="C6" s="30" t="n">
        <f aca="false">LCIA!D6+LCIA!D7+LCIA!D8+LCIA!D9+LCIA!D10</f>
        <v>84300</v>
      </c>
      <c r="D6" s="31" t="n">
        <f aca="false">IFERROR(B6/B$14,0)</f>
        <v>0.727883732014451</v>
      </c>
      <c r="E6" s="31" t="n">
        <f aca="false">IFERROR(C6/C$14,0)</f>
        <v>0.665174823409104</v>
      </c>
    </row>
    <row r="7" customFormat="false" ht="15" hidden="false" customHeight="false" outlineLevel="0" collapsed="false">
      <c r="A7" s="4" t="s">
        <v>357</v>
      </c>
      <c r="B7" s="30" t="n">
        <f aca="false">LCIA!C11</f>
        <v>20000</v>
      </c>
      <c r="C7" s="30" t="n">
        <f aca="false">LCIA!D11</f>
        <v>24000</v>
      </c>
      <c r="D7" s="31" t="n">
        <f aca="false">IFERROR(B7/B$14,0)</f>
        <v>0.172688904392515</v>
      </c>
      <c r="E7" s="31" t="n">
        <f aca="false">IFERROR(C7/C$14,0)</f>
        <v>0.189373615205439</v>
      </c>
    </row>
    <row r="8" customFormat="false" ht="15" hidden="false" customHeight="false" outlineLevel="0" collapsed="false">
      <c r="A8" s="4" t="s">
        <v>358</v>
      </c>
      <c r="B8" s="30" t="n">
        <f aca="false">LCIA!C12+LCIA!C17</f>
        <v>9475.2</v>
      </c>
      <c r="C8" s="30" t="n">
        <f aca="false">LCIA!D12+LCIA!D17</f>
        <v>12633.6</v>
      </c>
      <c r="D8" s="31" t="n">
        <f aca="false">IFERROR(B8/B$14,0)</f>
        <v>0.0818130953449979</v>
      </c>
      <c r="E8" s="31" t="n">
        <f aca="false">IFERROR(C8/C$14,0)</f>
        <v>0.099686271044143</v>
      </c>
    </row>
    <row r="9" customFormat="false" ht="15" hidden="false" customHeight="false" outlineLevel="0" collapsed="false">
      <c r="A9" s="4" t="s">
        <v>359</v>
      </c>
      <c r="B9" s="30" t="n">
        <f aca="false">LCIA!C13</f>
        <v>600</v>
      </c>
      <c r="C9" s="30" t="n">
        <f aca="false">LCIA!D13</f>
        <v>1600</v>
      </c>
      <c r="D9" s="31" t="n">
        <f aca="false">IFERROR(B9/B$14,0)</f>
        <v>0.00518066713177545</v>
      </c>
      <c r="E9" s="31" t="n">
        <f aca="false">IFERROR(C9/C$14,0)</f>
        <v>0.0126249076803626</v>
      </c>
    </row>
    <row r="10" customFormat="false" ht="15" hidden="false" customHeight="false" outlineLevel="0" collapsed="false">
      <c r="A10" s="4" t="s">
        <v>360</v>
      </c>
      <c r="B10" s="30" t="n">
        <f aca="false">LCIA!C14</f>
        <v>1440</v>
      </c>
      <c r="C10" s="30" t="n">
        <f aca="false">LCIA!D14</f>
        <v>4140</v>
      </c>
      <c r="D10" s="31" t="n">
        <f aca="false">IFERROR(B10/B$14,0)</f>
        <v>0.0124336011162611</v>
      </c>
      <c r="E10" s="31" t="n">
        <f aca="false">IFERROR(C10/C$14,0)</f>
        <v>0.0326669486229382</v>
      </c>
    </row>
    <row r="11" customFormat="false" ht="15" hidden="false" customHeight="false" outlineLevel="0" collapsed="false">
      <c r="A11" s="4" t="s">
        <v>361</v>
      </c>
      <c r="B11" s="30" t="n">
        <f aca="false">LCIA!C15+LCIA!C16</f>
        <v>0</v>
      </c>
      <c r="C11" s="30" t="n">
        <f aca="false">LCIA!D15+LCIA!D16</f>
        <v>0</v>
      </c>
      <c r="D11" s="31" t="n">
        <f aca="false">IFERROR(B11/B$14,0)</f>
        <v>0</v>
      </c>
      <c r="E11" s="31" t="n">
        <f aca="false">IFERROR(C11/C$14,0)</f>
        <v>0</v>
      </c>
    </row>
    <row r="12" customFormat="false" ht="15" hidden="false" customHeight="false" outlineLevel="0" collapsed="false">
      <c r="A12" s="4" t="s">
        <v>362</v>
      </c>
      <c r="B12" s="30" t="n">
        <f aca="false">LCIA!C18+LCIA!C19+LCIA!C20+LCIA!C23</f>
        <v>0</v>
      </c>
      <c r="C12" s="30" t="n">
        <f aca="false">LCIA!D18+LCIA!D19+LCIA!D20+LCIA!D23</f>
        <v>460</v>
      </c>
      <c r="D12" s="31" t="n">
        <f aca="false">IFERROR(B12/B$14,0)</f>
        <v>0</v>
      </c>
      <c r="E12" s="31" t="n">
        <f aca="false">IFERROR(C12/C$14,0)</f>
        <v>0.00362966095810424</v>
      </c>
    </row>
    <row r="13" customFormat="false" ht="15" hidden="false" customHeight="false" outlineLevel="0" collapsed="false">
      <c r="A13" s="4" t="s">
        <v>363</v>
      </c>
      <c r="B13" s="30" t="n">
        <f aca="false">LCIA!C21+LCIA!C22</f>
        <v>-0</v>
      </c>
      <c r="C13" s="30" t="n">
        <f aca="false">LCIA!D21+LCIA!D22</f>
        <v>-400</v>
      </c>
      <c r="D13" s="31" t="n">
        <f aca="false">IFERROR(B13/B$14,0)</f>
        <v>-0</v>
      </c>
      <c r="E13" s="31" t="n">
        <f aca="false">IFERROR(C13/C$14,0)</f>
        <v>-0.00315622692009065</v>
      </c>
    </row>
    <row r="14" customFormat="false" ht="15" hidden="false" customHeight="false" outlineLevel="0" collapsed="false">
      <c r="A14" s="3" t="s">
        <v>364</v>
      </c>
      <c r="B14" s="24" t="n">
        <f aca="false">SUM(B6:B13)</f>
        <v>115815.2</v>
      </c>
      <c r="C14" s="24" t="n">
        <f aca="false">SUM(C6:C13)</f>
        <v>126733.6</v>
      </c>
    </row>
    <row r="17" customFormat="false" ht="15" hidden="false" customHeight="false" outlineLevel="0" collapsed="false">
      <c r="A17" s="8" t="s">
        <v>365</v>
      </c>
      <c r="B17" s="9"/>
      <c r="C17" s="9"/>
      <c r="D17" s="9"/>
      <c r="E17" s="9"/>
      <c r="F17" s="9"/>
    </row>
    <row r="18" customFormat="false" ht="26.85" hidden="false" customHeight="false" outlineLevel="0" collapsed="false">
      <c r="A18" s="5" t="s">
        <v>353</v>
      </c>
      <c r="B18" s="5" t="s">
        <v>259</v>
      </c>
      <c r="C18" s="5" t="s">
        <v>260</v>
      </c>
      <c r="D18" s="5" t="s">
        <v>354</v>
      </c>
      <c r="E18" s="5" t="s">
        <v>355</v>
      </c>
    </row>
    <row r="19" customFormat="false" ht="15" hidden="false" customHeight="false" outlineLevel="0" collapsed="false">
      <c r="A19" s="4" t="s">
        <v>356</v>
      </c>
      <c r="B19" s="30" t="n">
        <f aca="false">LCIA!C28+LCIA!C29+LCIA!C30+LCIA!C31+LCIA!C32</f>
        <v>1830</v>
      </c>
      <c r="C19" s="30" t="n">
        <f aca="false">LCIA!D28+LCIA!D29+LCIA!D30+LCIA!D31+LCIA!D32</f>
        <v>1830</v>
      </c>
      <c r="D19" s="31" t="n">
        <f aca="false">IFERROR(B19/B$27,0)</f>
        <v>0.376832424885766</v>
      </c>
      <c r="E19" s="31" t="n">
        <f aca="false">IFERROR(C19/C$27,0)</f>
        <v>0.423307348893155</v>
      </c>
    </row>
    <row r="20" customFormat="false" ht="15" hidden="false" customHeight="false" outlineLevel="0" collapsed="false">
      <c r="A20" s="4" t="s">
        <v>357</v>
      </c>
      <c r="B20" s="30" t="n">
        <f aca="false">LCIA!C33</f>
        <v>20</v>
      </c>
      <c r="C20" s="30" t="n">
        <f aca="false">LCIA!D33</f>
        <v>24</v>
      </c>
      <c r="D20" s="31" t="n">
        <f aca="false">IFERROR(B20/B$27,0)</f>
        <v>0.00411838715722149</v>
      </c>
      <c r="E20" s="31" t="n">
        <f aca="false">IFERROR(C20/C$27,0)</f>
        <v>0.00555157178876269</v>
      </c>
    </row>
    <row r="21" customFormat="false" ht="15" hidden="false" customHeight="false" outlineLevel="0" collapsed="false">
      <c r="A21" s="4" t="s">
        <v>358</v>
      </c>
      <c r="B21" s="30" t="n">
        <f aca="false">LCIA!C34+LCIA!C39</f>
        <v>2.52</v>
      </c>
      <c r="C21" s="30" t="n">
        <f aca="false">LCIA!D34+LCIA!D39</f>
        <v>3.36</v>
      </c>
      <c r="D21" s="31" t="n">
        <f aca="false">IFERROR(B21/B$27,0)</f>
        <v>0.000518916781809908</v>
      </c>
      <c r="E21" s="31" t="n">
        <f aca="false">IFERROR(C21/C$27,0)</f>
        <v>0.000777220050426777</v>
      </c>
    </row>
    <row r="22" customFormat="false" ht="15" hidden="false" customHeight="false" outlineLevel="0" collapsed="false">
      <c r="A22" s="4" t="s">
        <v>359</v>
      </c>
      <c r="B22" s="30" t="n">
        <f aca="false">LCIA!C35</f>
        <v>0.15</v>
      </c>
      <c r="C22" s="30" t="n">
        <f aca="false">LCIA!D35</f>
        <v>0.4</v>
      </c>
      <c r="D22" s="31" t="n">
        <f aca="false">IFERROR(B22/B$27,0)</f>
        <v>3.08879036791612E-005</v>
      </c>
      <c r="E22" s="31" t="n">
        <f aca="false">IFERROR(C22/C$27,0)</f>
        <v>9.25261964793783E-005</v>
      </c>
    </row>
    <row r="23" customFormat="false" ht="15" hidden="false" customHeight="false" outlineLevel="0" collapsed="false">
      <c r="A23" s="4" t="s">
        <v>360</v>
      </c>
      <c r="B23" s="30" t="n">
        <f aca="false">LCIA!C36</f>
        <v>3.6</v>
      </c>
      <c r="C23" s="30" t="n">
        <f aca="false">LCIA!D36</f>
        <v>10.35</v>
      </c>
      <c r="D23" s="31" t="n">
        <f aca="false">IFERROR(B23/B$27,0)</f>
        <v>0.000741309688299868</v>
      </c>
      <c r="E23" s="31" t="n">
        <f aca="false">IFERROR(C23/C$27,0)</f>
        <v>0.00239411533390391</v>
      </c>
    </row>
    <row r="24" customFormat="false" ht="15" hidden="false" customHeight="false" outlineLevel="0" collapsed="false">
      <c r="A24" s="4" t="s">
        <v>361</v>
      </c>
      <c r="B24" s="30" t="n">
        <f aca="false">LCIA!C37+LCIA!C38</f>
        <v>3000</v>
      </c>
      <c r="C24" s="30" t="n">
        <f aca="false">LCIA!D37+LCIA!D38</f>
        <v>2450</v>
      </c>
      <c r="D24" s="31" t="n">
        <f aca="false">IFERROR(B24/B$27,0)</f>
        <v>0.617758073583223</v>
      </c>
      <c r="E24" s="31" t="n">
        <f aca="false">IFERROR(C24/C$27,0)</f>
        <v>0.566722953436192</v>
      </c>
    </row>
    <row r="25" customFormat="false" ht="15" hidden="false" customHeight="false" outlineLevel="0" collapsed="false">
      <c r="A25" s="4" t="s">
        <v>362</v>
      </c>
      <c r="B25" s="30" t="n">
        <f aca="false">LCIA!C40+LCIA!C41+LCIA!C42+LCIA!C45</f>
        <v>0</v>
      </c>
      <c r="C25" s="30" t="n">
        <f aca="false">LCIA!D40+LCIA!D41+LCIA!D42+LCIA!D45</f>
        <v>5.34</v>
      </c>
      <c r="D25" s="31" t="n">
        <f aca="false">IFERROR(B25/B$27,0)</f>
        <v>0</v>
      </c>
      <c r="E25" s="31" t="n">
        <f aca="false">IFERROR(C25/C$27,0)</f>
        <v>0.0012352247229997</v>
      </c>
    </row>
    <row r="26" customFormat="false" ht="15" hidden="false" customHeight="false" outlineLevel="0" collapsed="false">
      <c r="A26" s="4" t="s">
        <v>363</v>
      </c>
      <c r="B26" s="30" t="n">
        <f aca="false">LCIA!C43+LCIA!C44</f>
        <v>-0</v>
      </c>
      <c r="C26" s="30" t="n">
        <f aca="false">LCIA!D43+LCIA!D44</f>
        <v>-0.35</v>
      </c>
      <c r="D26" s="31" t="n">
        <f aca="false">IFERROR(B26/B$27,0)</f>
        <v>-0</v>
      </c>
      <c r="E26" s="31" t="n">
        <f aca="false">IFERROR(C26/C$27,0)</f>
        <v>-8.0960421919456E-005</v>
      </c>
    </row>
    <row r="27" customFormat="false" ht="15" hidden="false" customHeight="false" outlineLevel="0" collapsed="false">
      <c r="A27" s="3" t="s">
        <v>364</v>
      </c>
      <c r="B27" s="24" t="n">
        <f aca="false">SUM(B19:B26)</f>
        <v>4856.27</v>
      </c>
      <c r="C27" s="24" t="n">
        <f aca="false">SUM(C19:C26)</f>
        <v>4323.1</v>
      </c>
    </row>
    <row r="30" customFormat="false" ht="15" hidden="false" customHeight="false" outlineLevel="0" collapsed="false">
      <c r="A30" s="8" t="s">
        <v>366</v>
      </c>
      <c r="B30" s="9"/>
      <c r="C30" s="9"/>
      <c r="D30" s="9"/>
      <c r="E30" s="9"/>
      <c r="F30" s="9"/>
    </row>
    <row r="31" customFormat="false" ht="26.85" hidden="false" customHeight="false" outlineLevel="0" collapsed="false">
      <c r="A31" s="5" t="s">
        <v>353</v>
      </c>
      <c r="B31" s="5" t="s">
        <v>259</v>
      </c>
      <c r="C31" s="5" t="s">
        <v>260</v>
      </c>
      <c r="D31" s="5" t="s">
        <v>354</v>
      </c>
      <c r="E31" s="5" t="s">
        <v>355</v>
      </c>
    </row>
    <row r="32" customFormat="false" ht="15" hidden="false" customHeight="false" outlineLevel="0" collapsed="false">
      <c r="A32" s="4" t="s">
        <v>356</v>
      </c>
      <c r="B32" s="30" t="n">
        <f aca="false">LCIA!C50+LCIA!C51+LCIA!C52+LCIA!C53+LCIA!C54</f>
        <v>756000</v>
      </c>
      <c r="C32" s="30" t="n">
        <f aca="false">LCIA!D50+LCIA!D51+LCIA!D52+LCIA!D53+LCIA!D54</f>
        <v>756000</v>
      </c>
      <c r="D32" s="31" t="n">
        <f aca="false">IFERROR(B32/B$40,0)</f>
        <v>0.413997042878265</v>
      </c>
      <c r="E32" s="31" t="n">
        <f aca="false">IFERROR(C32/C$40,0)</f>
        <v>0.355563916846957</v>
      </c>
    </row>
    <row r="33" customFormat="false" ht="15" hidden="false" customHeight="false" outlineLevel="0" collapsed="false">
      <c r="A33" s="4" t="s">
        <v>357</v>
      </c>
      <c r="B33" s="30" t="n">
        <f aca="false">LCIA!C55</f>
        <v>900000</v>
      </c>
      <c r="C33" s="30" t="n">
        <f aca="false">LCIA!D55</f>
        <v>1080000</v>
      </c>
      <c r="D33" s="31" t="n">
        <f aca="false">IFERROR(B33/B$40,0)</f>
        <v>0.492853622474125</v>
      </c>
      <c r="E33" s="31" t="n">
        <f aca="false">IFERROR(C33/C$40,0)</f>
        <v>0.50794845263851</v>
      </c>
    </row>
    <row r="34" customFormat="false" ht="15" hidden="false" customHeight="false" outlineLevel="0" collapsed="false">
      <c r="A34" s="4" t="s">
        <v>358</v>
      </c>
      <c r="B34" s="30" t="n">
        <f aca="false">LCIA!C56+LCIA!C61</f>
        <v>126000</v>
      </c>
      <c r="C34" s="30" t="n">
        <f aca="false">LCIA!D56+LCIA!D61</f>
        <v>168000</v>
      </c>
      <c r="D34" s="31" t="n">
        <f aca="false">IFERROR(B34/B$40,0)</f>
        <v>0.0689995071463775</v>
      </c>
      <c r="E34" s="31" t="n">
        <f aca="false">IFERROR(C34/C$40,0)</f>
        <v>0.0790142037437682</v>
      </c>
    </row>
    <row r="35" customFormat="false" ht="15" hidden="false" customHeight="false" outlineLevel="0" collapsed="false">
      <c r="A35" s="4" t="s">
        <v>359</v>
      </c>
      <c r="B35" s="30" t="n">
        <f aca="false">LCIA!C57</f>
        <v>22500</v>
      </c>
      <c r="C35" s="30" t="n">
        <f aca="false">LCIA!D57</f>
        <v>60000</v>
      </c>
      <c r="D35" s="31" t="n">
        <f aca="false">IFERROR(B35/B$40,0)</f>
        <v>0.0123213405618531</v>
      </c>
      <c r="E35" s="31" t="n">
        <f aca="false">IFERROR(C35/C$40,0)</f>
        <v>0.0282193584799172</v>
      </c>
    </row>
    <row r="36" customFormat="false" ht="15" hidden="false" customHeight="false" outlineLevel="0" collapsed="false">
      <c r="A36" s="4" t="s">
        <v>360</v>
      </c>
      <c r="B36" s="30" t="n">
        <f aca="false">LCIA!C58</f>
        <v>21600</v>
      </c>
      <c r="C36" s="30" t="n">
        <f aca="false">LCIA!D58</f>
        <v>62100</v>
      </c>
      <c r="D36" s="31" t="n">
        <f aca="false">IFERROR(B36/B$40,0)</f>
        <v>0.011828486939379</v>
      </c>
      <c r="E36" s="31" t="n">
        <f aca="false">IFERROR(C36/C$40,0)</f>
        <v>0.0292070360267143</v>
      </c>
    </row>
    <row r="37" customFormat="false" ht="15" hidden="false" customHeight="false" outlineLevel="0" collapsed="false">
      <c r="A37" s="4" t="s">
        <v>361</v>
      </c>
      <c r="B37" s="30" t="n">
        <f aca="false">LCIA!C59+LCIA!C60</f>
        <v>0</v>
      </c>
      <c r="C37" s="30" t="n">
        <f aca="false">LCIA!D59+LCIA!D60</f>
        <v>0</v>
      </c>
      <c r="D37" s="31" t="n">
        <f aca="false">IFERROR(B37/B$40,0)</f>
        <v>0</v>
      </c>
      <c r="E37" s="31" t="n">
        <f aca="false">IFERROR(C37/C$40,0)</f>
        <v>0</v>
      </c>
    </row>
    <row r="38" customFormat="false" ht="15" hidden="false" customHeight="false" outlineLevel="0" collapsed="false">
      <c r="A38" s="4" t="s">
        <v>362</v>
      </c>
      <c r="B38" s="30" t="n">
        <f aca="false">LCIA!C62+LCIA!C63+LCIA!C64+LCIA!C67</f>
        <v>0</v>
      </c>
      <c r="C38" s="30" t="n">
        <f aca="false">LCIA!D62+LCIA!D63+LCIA!D64+LCIA!D67</f>
        <v>4600</v>
      </c>
      <c r="D38" s="31" t="n">
        <f aca="false">IFERROR(B38/B$40,0)</f>
        <v>0</v>
      </c>
      <c r="E38" s="31" t="n">
        <f aca="false">IFERROR(C38/C$40,0)</f>
        <v>0.00216348415012699</v>
      </c>
    </row>
    <row r="39" customFormat="false" ht="15" hidden="false" customHeight="false" outlineLevel="0" collapsed="false">
      <c r="A39" s="4" t="s">
        <v>363</v>
      </c>
      <c r="B39" s="30" t="n">
        <f aca="false">LCIA!C65+LCIA!C66</f>
        <v>-0</v>
      </c>
      <c r="C39" s="30" t="n">
        <f aca="false">LCIA!D65+LCIA!D66</f>
        <v>-4500</v>
      </c>
      <c r="D39" s="31" t="n">
        <f aca="false">IFERROR(B39/B$40,0)</f>
        <v>-0</v>
      </c>
      <c r="E39" s="31" t="n">
        <f aca="false">IFERROR(C39/C$40,0)</f>
        <v>-0.00211645188599379</v>
      </c>
    </row>
    <row r="40" customFormat="false" ht="15" hidden="false" customHeight="false" outlineLevel="0" collapsed="false">
      <c r="A40" s="3" t="s">
        <v>364</v>
      </c>
      <c r="B40" s="24" t="n">
        <f aca="false">SUM(B32:B39)</f>
        <v>1826100</v>
      </c>
      <c r="C40" s="24" t="n">
        <f aca="false">SUM(C32:C39)</f>
        <v>2126200</v>
      </c>
    </row>
    <row r="43" customFormat="false" ht="15" hidden="false" customHeight="false" outlineLevel="0" collapsed="false">
      <c r="A43" s="2" t="s">
        <v>367</v>
      </c>
    </row>
    <row r="44" customFormat="false" ht="15" hidden="false" customHeight="false" outlineLevel="0" collapsed="false">
      <c r="A44" s="2" t="s">
        <v>368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20"/>
    <col collapsed="false" customWidth="true" hidden="false" outlineLevel="0" max="4" min="4" style="0" width="14"/>
    <col collapsed="false" customWidth="true" hidden="false" outlineLevel="0" max="5" min="5" style="0" width="22"/>
  </cols>
  <sheetData>
    <row r="1" customFormat="false" ht="17.35" hidden="false" customHeight="false" outlineLevel="0" collapsed="false">
      <c r="A1" s="1" t="s">
        <v>369</v>
      </c>
    </row>
    <row r="2" customFormat="false" ht="15" hidden="false" customHeight="false" outlineLevel="0" collapsed="false">
      <c r="A2" s="2" t="s">
        <v>1</v>
      </c>
    </row>
    <row r="4" customFormat="false" ht="39.55" hidden="false" customHeight="false" outlineLevel="0" collapsed="false">
      <c r="A4" s="5" t="s">
        <v>23</v>
      </c>
      <c r="B4" s="5" t="s">
        <v>100</v>
      </c>
      <c r="C4" s="5" t="s">
        <v>259</v>
      </c>
      <c r="D4" s="5" t="s">
        <v>260</v>
      </c>
    </row>
    <row r="5" customFormat="false" ht="15" hidden="false" customHeight="false" outlineLevel="0" collapsed="false">
      <c r="A5" s="4" t="s">
        <v>370</v>
      </c>
      <c r="B5" s="4" t="s">
        <v>335</v>
      </c>
      <c r="C5" s="22" t="n">
        <f aca="false">LCIA!C24</f>
        <v>115815.2</v>
      </c>
      <c r="D5" s="22" t="n">
        <f aca="false">LCIA!D24</f>
        <v>126733.6</v>
      </c>
    </row>
    <row r="6" customFormat="false" ht="15" hidden="false" customHeight="false" outlineLevel="0" collapsed="false">
      <c r="A6" s="4" t="s">
        <v>371</v>
      </c>
      <c r="B6" s="4" t="s">
        <v>346</v>
      </c>
      <c r="C6" s="22" t="n">
        <f aca="false">LCIA!C46</f>
        <v>4856.27</v>
      </c>
      <c r="D6" s="22" t="n">
        <f aca="false">LCIA!D46</f>
        <v>4323.1</v>
      </c>
    </row>
    <row r="7" customFormat="false" ht="15" hidden="false" customHeight="false" outlineLevel="0" collapsed="false">
      <c r="A7" s="4" t="s">
        <v>372</v>
      </c>
      <c r="B7" s="4" t="s">
        <v>349</v>
      </c>
      <c r="C7" s="22" t="n">
        <f aca="false">LCIA!C68</f>
        <v>1826100</v>
      </c>
      <c r="D7" s="22" t="n">
        <f aca="false">LCIA!D68</f>
        <v>2126200</v>
      </c>
    </row>
    <row r="8" customFormat="false" ht="15" hidden="false" customHeight="false" outlineLevel="0" collapsed="false">
      <c r="A8" s="8" t="s">
        <v>373</v>
      </c>
      <c r="B8" s="9"/>
      <c r="C8" s="9"/>
      <c r="D8" s="9"/>
      <c r="E8" s="9"/>
    </row>
    <row r="9" customFormat="false" ht="15" hidden="false" customHeight="false" outlineLevel="0" collapsed="false">
      <c r="A9" s="4" t="s">
        <v>374</v>
      </c>
      <c r="B9" s="4" t="s">
        <v>375</v>
      </c>
      <c r="C9" s="32" t="n">
        <f aca="false">LCI!C21/LCI!C24</f>
        <v>1</v>
      </c>
      <c r="D9" s="32" t="n">
        <f aca="false">LCI!D21/LCI!D24</f>
        <v>0.347826086956522</v>
      </c>
    </row>
    <row r="10" customFormat="false" ht="15" hidden="false" customHeight="false" outlineLevel="0" collapsed="false">
      <c r="A10" s="4" t="s">
        <v>376</v>
      </c>
      <c r="B10" s="4" t="s">
        <v>375</v>
      </c>
      <c r="C10" s="32" t="n">
        <f aca="false">LCI!C22/LCI!C24</f>
        <v>0</v>
      </c>
      <c r="D10" s="32" t="n">
        <f aca="false">LCI!D22/LCI!D24</f>
        <v>0.434782608695652</v>
      </c>
    </row>
    <row r="11" customFormat="false" ht="15" hidden="false" customHeight="false" outlineLevel="0" collapsed="false">
      <c r="A11" s="4" t="s">
        <v>377</v>
      </c>
      <c r="B11" s="4" t="s">
        <v>375</v>
      </c>
      <c r="C11" s="32" t="n">
        <f aca="false">LCI!C23/LCI!C24</f>
        <v>0</v>
      </c>
      <c r="D11" s="32" t="n">
        <f aca="false">LCI!D23/LCI!D24</f>
        <v>0.217391304347826</v>
      </c>
    </row>
    <row r="12" customFormat="false" ht="15" hidden="false" customHeight="false" outlineLevel="0" collapsed="false">
      <c r="A12" s="8" t="s">
        <v>378</v>
      </c>
      <c r="B12" s="9"/>
      <c r="C12" s="9"/>
      <c r="D12" s="9"/>
      <c r="E12" s="9"/>
    </row>
    <row r="13" customFormat="false" ht="15" hidden="false" customHeight="false" outlineLevel="0" collapsed="false">
      <c r="A13" s="4" t="s">
        <v>379</v>
      </c>
      <c r="B13" s="4" t="s">
        <v>380</v>
      </c>
      <c r="C13" s="22" t="n">
        <f aca="false">LCI!C21*Parameters!$B$18</f>
        <v>280000</v>
      </c>
      <c r="D13" s="22" t="n">
        <f aca="false">LCI!D21*Parameters!$B$18</f>
        <v>280000</v>
      </c>
    </row>
    <row r="14" customFormat="false" ht="15" hidden="false" customHeight="false" outlineLevel="0" collapsed="false">
      <c r="A14" s="4" t="s">
        <v>381</v>
      </c>
      <c r="B14" s="4" t="s">
        <v>380</v>
      </c>
      <c r="C14" s="22" t="n">
        <f aca="false">LCI!C22*Parameters!$B$19</f>
        <v>0</v>
      </c>
      <c r="D14" s="22" t="n">
        <f aca="false">LCI!D22*Parameters!$B$19</f>
        <v>75000</v>
      </c>
    </row>
    <row r="15" customFormat="false" ht="15" hidden="false" customHeight="false" outlineLevel="0" collapsed="false">
      <c r="A15" s="4" t="s">
        <v>382</v>
      </c>
      <c r="B15" s="4" t="s">
        <v>380</v>
      </c>
      <c r="C15" s="22" t="n">
        <f aca="false">LCI!C23*Parameters!$B$20</f>
        <v>0</v>
      </c>
      <c r="D15" s="22" t="n">
        <f aca="false">LCI!D23*Parameters!$B$20</f>
        <v>62500</v>
      </c>
    </row>
    <row r="16" customFormat="false" ht="15" hidden="false" customHeight="false" outlineLevel="0" collapsed="false">
      <c r="A16" s="4" t="s">
        <v>383</v>
      </c>
      <c r="B16" s="4" t="s">
        <v>380</v>
      </c>
      <c r="C16" s="22" t="n">
        <f aca="false">SUM(C13:C15)</f>
        <v>280000</v>
      </c>
      <c r="D16" s="22" t="n">
        <f aca="false">SUM(D13:D15)</f>
        <v>417500</v>
      </c>
    </row>
    <row r="17" customFormat="false" ht="15" hidden="false" customHeight="false" outlineLevel="0" collapsed="false">
      <c r="A17" s="4" t="s">
        <v>384</v>
      </c>
      <c r="B17" s="4" t="s">
        <v>375</v>
      </c>
      <c r="C17" s="32" t="n">
        <f aca="false">C13/C16</f>
        <v>1</v>
      </c>
      <c r="D17" s="32" t="n">
        <f aca="false">D13/D16</f>
        <v>0.670658682634731</v>
      </c>
    </row>
    <row r="18" customFormat="false" ht="15" hidden="false" customHeight="false" outlineLevel="0" collapsed="false">
      <c r="A18" s="4" t="s">
        <v>385</v>
      </c>
      <c r="B18" s="4" t="s">
        <v>375</v>
      </c>
      <c r="C18" s="32" t="n">
        <f aca="false">C14/C16</f>
        <v>0</v>
      </c>
      <c r="D18" s="32" t="n">
        <f aca="false">D14/D16</f>
        <v>0.179640718562874</v>
      </c>
    </row>
    <row r="19" customFormat="false" ht="15" hidden="false" customHeight="false" outlineLevel="0" collapsed="false">
      <c r="A19" s="4" t="s">
        <v>386</v>
      </c>
      <c r="B19" s="4" t="s">
        <v>375</v>
      </c>
      <c r="C19" s="32" t="n">
        <f aca="false">C15/C16</f>
        <v>0</v>
      </c>
      <c r="D19" s="32" t="n">
        <f aca="false">D15/D16</f>
        <v>0.149700598802395</v>
      </c>
    </row>
    <row r="20" customFormat="false" ht="15" hidden="false" customHeight="false" outlineLevel="0" collapsed="false">
      <c r="A20" s="8" t="s">
        <v>387</v>
      </c>
      <c r="B20" s="9"/>
      <c r="C20" s="9"/>
      <c r="D20" s="9"/>
      <c r="E20" s="9"/>
    </row>
    <row r="21" customFormat="false" ht="15" hidden="false" customHeight="false" outlineLevel="0" collapsed="false">
      <c r="A21" s="4" t="s">
        <v>388</v>
      </c>
      <c r="B21" s="4" t="s">
        <v>389</v>
      </c>
      <c r="C21" s="33" t="n">
        <f aca="false">C5*C9/LCI!C21</f>
        <v>2.89538</v>
      </c>
      <c r="D21" s="33" t="n">
        <f aca="false">D5*D9/LCI!D21</f>
        <v>1.10203130434783</v>
      </c>
    </row>
    <row r="22" customFormat="false" ht="15" hidden="false" customHeight="false" outlineLevel="0" collapsed="false">
      <c r="A22" s="4" t="s">
        <v>390</v>
      </c>
      <c r="B22" s="4" t="s">
        <v>389</v>
      </c>
      <c r="C22" s="33" t="n">
        <f aca="false">C5*C17/LCI!C21</f>
        <v>2.89538</v>
      </c>
      <c r="D22" s="33" t="n">
        <f aca="false">D5*D17/LCI!D21</f>
        <v>2.12487473053892</v>
      </c>
    </row>
    <row r="23" customFormat="false" ht="15" hidden="false" customHeight="false" outlineLevel="0" collapsed="false">
      <c r="A23" s="4" t="s">
        <v>391</v>
      </c>
      <c r="B23" s="4" t="s">
        <v>389</v>
      </c>
      <c r="C23" s="34" t="n">
        <f aca="false">IFERROR(C5*C18/LCI!C22,0)</f>
        <v>0</v>
      </c>
      <c r="D23" s="34" t="n">
        <f aca="false">IFERROR(D5*D18/LCI!D22,0)</f>
        <v>0.455330299401198</v>
      </c>
    </row>
    <row r="24" customFormat="false" ht="15" hidden="false" customHeight="false" outlineLevel="0" collapsed="false">
      <c r="A24" s="4" t="s">
        <v>392</v>
      </c>
      <c r="B24" s="4" t="s">
        <v>389</v>
      </c>
      <c r="C24" s="34" t="n">
        <f aca="false">IFERROR(C5*C19/LCI!C23,0)</f>
        <v>0</v>
      </c>
      <c r="D24" s="34" t="n">
        <f aca="false">IFERROR(D5*D19/LCI!D23,0)</f>
        <v>0.758883832335329</v>
      </c>
    </row>
    <row r="25" customFormat="false" ht="15" hidden="false" customHeight="false" outlineLevel="0" collapsed="false">
      <c r="A25" s="4" t="s">
        <v>393</v>
      </c>
      <c r="B25" s="4" t="s">
        <v>394</v>
      </c>
      <c r="C25" s="35" t="n">
        <f aca="false">C6*C17/LCI!C21</f>
        <v>0.12140675</v>
      </c>
      <c r="D25" s="35" t="n">
        <f aca="false">D6*D17/LCI!D21</f>
        <v>0.0724831137724551</v>
      </c>
    </row>
    <row r="26" customFormat="false" ht="15" hidden="false" customHeight="false" outlineLevel="0" collapsed="false">
      <c r="A26" s="4" t="s">
        <v>395</v>
      </c>
      <c r="B26" s="4" t="s">
        <v>396</v>
      </c>
      <c r="C26" s="36" t="n">
        <f aca="false">C7*C17/LCI!C21</f>
        <v>45.6525</v>
      </c>
      <c r="D26" s="36" t="n">
        <f aca="false">D7*D17/LCI!D21</f>
        <v>35.6488622754491</v>
      </c>
    </row>
    <row r="28" customFormat="false" ht="15" hidden="false" customHeight="false" outlineLevel="0" collapsed="false">
      <c r="A28" s="2" t="s">
        <v>397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32"/>
    <col collapsed="false" customWidth="true" hidden="false" outlineLevel="0" max="4" min="4" style="0" width="42"/>
    <col collapsed="false" customWidth="true" hidden="false" outlineLevel="0" max="5" min="5" style="0" width="13"/>
    <col collapsed="false" customWidth="true" hidden="false" outlineLevel="0" max="6" min="6" style="0" width="9"/>
    <col collapsed="false" customWidth="true" hidden="false" outlineLevel="0" max="7" min="7" style="0" width="10"/>
    <col collapsed="false" customWidth="true" hidden="false" outlineLevel="0" max="8" min="8" style="0" width="18"/>
    <col collapsed="false" customWidth="true" hidden="false" outlineLevel="0" max="9" min="9" style="0" width="24"/>
    <col collapsed="false" customWidth="true" hidden="false" outlineLevel="0" max="11" min="10" style="0" width="7"/>
  </cols>
  <sheetData>
    <row r="1" customFormat="false" ht="17.35" hidden="false" customHeight="false" outlineLevel="0" collapsed="false">
      <c r="A1" s="1" t="s">
        <v>398</v>
      </c>
    </row>
    <row r="2" customFormat="false" ht="15" hidden="false" customHeight="false" outlineLevel="0" collapsed="false">
      <c r="A2" s="2" t="s">
        <v>1</v>
      </c>
    </row>
    <row r="4" customFormat="false" ht="26.85" hidden="false" customHeight="false" outlineLevel="0" collapsed="false">
      <c r="A4" s="5" t="s">
        <v>399</v>
      </c>
      <c r="B4" s="5" t="s">
        <v>400</v>
      </c>
      <c r="C4" s="5" t="s">
        <v>401</v>
      </c>
      <c r="D4" s="5" t="s">
        <v>402</v>
      </c>
      <c r="E4" s="5" t="s">
        <v>100</v>
      </c>
      <c r="F4" s="5" t="s">
        <v>403</v>
      </c>
      <c r="G4" s="5" t="s">
        <v>404</v>
      </c>
      <c r="H4" s="5" t="s">
        <v>259</v>
      </c>
      <c r="I4" s="5" t="s">
        <v>260</v>
      </c>
      <c r="J4" s="5" t="s">
        <v>405</v>
      </c>
      <c r="K4" s="5" t="s">
        <v>406</v>
      </c>
    </row>
    <row r="5" customFormat="false" ht="26.85" hidden="false" customHeight="false" outlineLevel="0" collapsed="false">
      <c r="A5" s="37" t="s">
        <v>407</v>
      </c>
      <c r="B5" s="37" t="s">
        <v>408</v>
      </c>
      <c r="C5" s="37" t="s">
        <v>409</v>
      </c>
      <c r="D5" s="37" t="s">
        <v>410</v>
      </c>
      <c r="E5" s="37" t="s">
        <v>389</v>
      </c>
      <c r="F5" s="37" t="s">
        <v>411</v>
      </c>
      <c r="G5" s="19" t="n">
        <v>2</v>
      </c>
      <c r="H5" s="33" t="n">
        <f aca="false">Allocation!C22</f>
        <v>2.89538</v>
      </c>
      <c r="I5" s="33" t="n">
        <f aca="false">Allocation!D22</f>
        <v>2.12487473053892</v>
      </c>
      <c r="J5" s="38" t="n">
        <f aca="false">IF($F5="lower",IF(H5&lt;=$G5,1,0),IF(H5&gt;=$G5,1,0))</f>
        <v>0</v>
      </c>
      <c r="K5" s="38" t="n">
        <f aca="false">IF($F5="lower",IF(I5&lt;=$G5,1,0),IF(I5&gt;=$G5,1,0))</f>
        <v>0</v>
      </c>
    </row>
    <row r="6" customFormat="false" ht="26.85" hidden="false" customHeight="false" outlineLevel="0" collapsed="false">
      <c r="A6" s="37" t="s">
        <v>412</v>
      </c>
      <c r="B6" s="37" t="s">
        <v>408</v>
      </c>
      <c r="C6" s="37" t="s">
        <v>413</v>
      </c>
      <c r="D6" s="37" t="s">
        <v>414</v>
      </c>
      <c r="E6" s="37" t="s">
        <v>394</v>
      </c>
      <c r="F6" s="37" t="s">
        <v>411</v>
      </c>
      <c r="G6" s="39" t="n">
        <v>0.08</v>
      </c>
      <c r="H6" s="35" t="n">
        <f aca="false">Allocation!C25</f>
        <v>0.12140675</v>
      </c>
      <c r="I6" s="35" t="n">
        <f aca="false">Allocation!D25</f>
        <v>0.0724831137724551</v>
      </c>
      <c r="J6" s="38" t="n">
        <f aca="false">IF($F6="lower",IF(H6&lt;=$G6,1,0),IF(H6&gt;=$G6,1,0))</f>
        <v>0</v>
      </c>
      <c r="K6" s="38" t="n">
        <f aca="false">IF($F6="lower",IF(I6&lt;=$G6,1,0),IF(I6&gt;=$G6,1,0))</f>
        <v>1</v>
      </c>
    </row>
    <row r="7" customFormat="false" ht="26.85" hidden="false" customHeight="false" outlineLevel="0" collapsed="false">
      <c r="A7" s="37" t="s">
        <v>415</v>
      </c>
      <c r="B7" s="37" t="s">
        <v>408</v>
      </c>
      <c r="C7" s="37" t="s">
        <v>416</v>
      </c>
      <c r="D7" s="37" t="s">
        <v>417</v>
      </c>
      <c r="E7" s="37" t="s">
        <v>396</v>
      </c>
      <c r="F7" s="37" t="s">
        <v>411</v>
      </c>
      <c r="G7" s="27" t="n">
        <v>40</v>
      </c>
      <c r="H7" s="36" t="n">
        <f aca="false">Allocation!C26</f>
        <v>45.6525</v>
      </c>
      <c r="I7" s="36" t="n">
        <f aca="false">Allocation!D26</f>
        <v>35.6488622754491</v>
      </c>
      <c r="J7" s="38" t="n">
        <f aca="false">IF($F7="lower",IF(H7&lt;=$G7,1,0),IF(H7&gt;=$G7,1,0))</f>
        <v>0</v>
      </c>
      <c r="K7" s="38" t="n">
        <f aca="false">IF($F7="lower",IF(I7&lt;=$G7,1,0),IF(I7&gt;=$G7,1,0))</f>
        <v>1</v>
      </c>
    </row>
    <row r="8" customFormat="false" ht="26.85" hidden="false" customHeight="false" outlineLevel="0" collapsed="false">
      <c r="A8" s="37" t="s">
        <v>418</v>
      </c>
      <c r="B8" s="37" t="s">
        <v>408</v>
      </c>
      <c r="C8" s="37" t="s">
        <v>419</v>
      </c>
      <c r="D8" s="37" t="s">
        <v>420</v>
      </c>
      <c r="E8" s="37" t="s">
        <v>375</v>
      </c>
      <c r="F8" s="37" t="s">
        <v>411</v>
      </c>
      <c r="G8" s="17" t="n">
        <v>0.75</v>
      </c>
      <c r="H8" s="32" t="n">
        <f aca="false">LCIA!C25/LCIA!C24</f>
        <v>0.727883732014451</v>
      </c>
      <c r="I8" s="32" t="n">
        <f aca="false">LCIA!D25/LCIA!D24</f>
        <v>0.665174823409104</v>
      </c>
      <c r="J8" s="38" t="n">
        <f aca="false">IF($F8="lower",IF(H8&lt;=$G8,1,0),IF(H8&gt;=$G8,1,0))</f>
        <v>1</v>
      </c>
      <c r="K8" s="38" t="n">
        <f aca="false">IF($F8="lower",IF(I8&lt;=$G8,1,0),IF(I8&gt;=$G8,1,0))</f>
        <v>1</v>
      </c>
    </row>
    <row r="9" customFormat="false" ht="15" hidden="false" customHeight="false" outlineLevel="0" collapsed="false">
      <c r="A9" s="37" t="s">
        <v>421</v>
      </c>
      <c r="B9" s="37" t="s">
        <v>422</v>
      </c>
      <c r="C9" s="37" t="s">
        <v>423</v>
      </c>
      <c r="D9" s="37" t="s">
        <v>424</v>
      </c>
      <c r="E9" s="37" t="s">
        <v>375</v>
      </c>
      <c r="F9" s="37" t="s">
        <v>425</v>
      </c>
      <c r="G9" s="17" t="n">
        <v>0.15</v>
      </c>
      <c r="H9" s="32" t="n">
        <f aca="false">IFERROR('Nutrient balance'!C10/'Nutrient balance'!C9,0)</f>
        <v>0</v>
      </c>
      <c r="I9" s="32" t="n">
        <f aca="false">IFERROR('Nutrient balance'!D10/'Nutrient balance'!D9,0)</f>
        <v>0.183333333333333</v>
      </c>
      <c r="J9" s="38" t="n">
        <f aca="false">IF($F9="lower",IF(H9&lt;=$G9,1,0),IF(H9&gt;=$G9,1,0))</f>
        <v>0</v>
      </c>
      <c r="K9" s="38" t="n">
        <f aca="false">IF($F9="lower",IF(I9&lt;=$G9,1,0),IF(I9&gt;=$G9,1,0))</f>
        <v>1</v>
      </c>
    </row>
    <row r="10" customFormat="false" ht="15" hidden="false" customHeight="false" outlineLevel="0" collapsed="false">
      <c r="A10" s="37" t="s">
        <v>426</v>
      </c>
      <c r="B10" s="37" t="s">
        <v>422</v>
      </c>
      <c r="C10" s="37" t="s">
        <v>427</v>
      </c>
      <c r="D10" s="37" t="s">
        <v>428</v>
      </c>
      <c r="E10" s="37" t="s">
        <v>375</v>
      </c>
      <c r="F10" s="37" t="s">
        <v>425</v>
      </c>
      <c r="G10" s="17" t="n">
        <v>0.1</v>
      </c>
      <c r="H10" s="32" t="n">
        <f aca="false">IFERROR('Nutrient balance'!C18/'Nutrient balance'!C17,0)</f>
        <v>0</v>
      </c>
      <c r="I10" s="32" t="n">
        <f aca="false">IFERROR('Nutrient balance'!D18/'Nutrient balance'!D17,0)</f>
        <v>0.105769230769231</v>
      </c>
      <c r="J10" s="38" t="n">
        <f aca="false">IF($F10="lower",IF(H10&lt;=$G10,1,0),IF(H10&gt;=$G10,1,0))</f>
        <v>0</v>
      </c>
      <c r="K10" s="38" t="n">
        <f aca="false">IF($F10="lower",IF(I10&lt;=$G10,1,0),IF(I10&gt;=$G10,1,0))</f>
        <v>1</v>
      </c>
    </row>
    <row r="11" customFormat="false" ht="15" hidden="false" customHeight="false" outlineLevel="0" collapsed="false">
      <c r="A11" s="37" t="s">
        <v>429</v>
      </c>
      <c r="B11" s="37" t="s">
        <v>422</v>
      </c>
      <c r="C11" s="37" t="s">
        <v>430</v>
      </c>
      <c r="D11" s="37" t="s">
        <v>431</v>
      </c>
      <c r="E11" s="37" t="s">
        <v>375</v>
      </c>
      <c r="F11" s="37" t="s">
        <v>425</v>
      </c>
      <c r="G11" s="17" t="n">
        <v>0.35</v>
      </c>
      <c r="H11" s="32" t="n">
        <f aca="false">('Nutrient balance'!C6+'Nutrient balance'!C10)/'Nutrient balance'!C5</f>
        <v>0.285714285714286</v>
      </c>
      <c r="I11" s="32" t="n">
        <f aca="false">('Nutrient balance'!D6+'Nutrient balance'!D10)/'Nutrient balance'!D5</f>
        <v>0.416666666666667</v>
      </c>
      <c r="J11" s="38" t="n">
        <f aca="false">IF($F11="lower",IF(H11&lt;=$G11,1,0),IF(H11&gt;=$G11,1,0))</f>
        <v>0</v>
      </c>
      <c r="K11" s="38" t="n">
        <f aca="false">IF($F11="lower",IF(I11&lt;=$G11,1,0),IF(I11&gt;=$G11,1,0))</f>
        <v>1</v>
      </c>
    </row>
    <row r="12" customFormat="false" ht="15" hidden="false" customHeight="false" outlineLevel="0" collapsed="false">
      <c r="A12" s="37" t="s">
        <v>432</v>
      </c>
      <c r="B12" s="37" t="s">
        <v>422</v>
      </c>
      <c r="C12" s="37" t="s">
        <v>433</v>
      </c>
      <c r="D12" s="37" t="s">
        <v>434</v>
      </c>
      <c r="E12" s="37" t="s">
        <v>241</v>
      </c>
      <c r="F12" s="37" t="s">
        <v>411</v>
      </c>
      <c r="G12" s="19" t="n">
        <v>1.7</v>
      </c>
      <c r="H12" s="33" t="n">
        <f aca="false">LCI!C6/LCI!C21</f>
        <v>1.5</v>
      </c>
      <c r="I12" s="33" t="n">
        <f aca="false">LCI!D6/LCI!D21</f>
        <v>1.5</v>
      </c>
      <c r="J12" s="38" t="n">
        <f aca="false">IF($F12="lower",IF(H12&lt;=$G12,1,0),IF(H12&gt;=$G12,1,0))</f>
        <v>1</v>
      </c>
      <c r="K12" s="38" t="n">
        <f aca="false">IF($F12="lower",IF(I12&lt;=$G12,1,0),IF(I12&gt;=$G12,1,0))</f>
        <v>1</v>
      </c>
    </row>
    <row r="13" customFormat="false" ht="26.85" hidden="false" customHeight="false" outlineLevel="0" collapsed="false">
      <c r="A13" s="37" t="s">
        <v>435</v>
      </c>
      <c r="B13" s="37" t="s">
        <v>422</v>
      </c>
      <c r="C13" s="37" t="s">
        <v>436</v>
      </c>
      <c r="D13" s="37" t="s">
        <v>437</v>
      </c>
      <c r="E13" s="37" t="s">
        <v>375</v>
      </c>
      <c r="F13" s="37" t="s">
        <v>425</v>
      </c>
      <c r="G13" s="17" t="n">
        <v>0.5</v>
      </c>
      <c r="H13" s="32" t="n">
        <f aca="false">IFERROR((LCI!C31+LCI!C32)/(IF(LCI!C22&gt;0,Parameters!$B$30,0)+LCI!C23*Parameters!$B$24),0)</f>
        <v>0</v>
      </c>
      <c r="I13" s="32" t="n">
        <f aca="false">IFERROR((LCI!D31+LCI!D32)/(IF(LCI!D22&gt;0,Parameters!$B$30,0)+LCI!D23*Parameters!$B$24),0)</f>
        <v>1</v>
      </c>
      <c r="J13" s="38" t="n">
        <f aca="false">IF($F13="lower",IF(H13&lt;=$G13,1,0),IF(H13&gt;=$G13,1,0))</f>
        <v>0</v>
      </c>
      <c r="K13" s="38" t="n">
        <f aca="false">IF($F13="lower",IF(I13&lt;=$G13,1,0),IF(I13&gt;=$G13,1,0))</f>
        <v>1</v>
      </c>
    </row>
    <row r="14" customFormat="false" ht="15" hidden="false" customHeight="false" outlineLevel="0" collapsed="false">
      <c r="A14" s="37" t="s">
        <v>438</v>
      </c>
      <c r="B14" s="37" t="s">
        <v>422</v>
      </c>
      <c r="C14" s="37" t="s">
        <v>439</v>
      </c>
      <c r="D14" s="37" t="s">
        <v>440</v>
      </c>
      <c r="E14" s="37" t="s">
        <v>375</v>
      </c>
      <c r="F14" s="37" t="s">
        <v>425</v>
      </c>
      <c r="G14" s="17" t="n">
        <v>0.5</v>
      </c>
      <c r="H14" s="32" t="n">
        <f aca="false">(LCI!C22+LCI!C23)/LCI!C24</f>
        <v>0</v>
      </c>
      <c r="I14" s="32" t="n">
        <f aca="false">(LCI!D22+LCI!D23)/LCI!D24</f>
        <v>0.652173913043478</v>
      </c>
      <c r="J14" s="38" t="n">
        <f aca="false">IF($F14="lower",IF(H14&lt;=$G14,1,0),IF(H14&gt;=$G14,1,0))</f>
        <v>0</v>
      </c>
      <c r="K14" s="38" t="n">
        <f aca="false">IF($F14="lower",IF(I14&lt;=$G14,1,0),IF(I14&gt;=$G14,1,0))</f>
        <v>1</v>
      </c>
    </row>
    <row r="15" customFormat="false" ht="26.85" hidden="false" customHeight="false" outlineLevel="0" collapsed="false">
      <c r="A15" s="37" t="s">
        <v>441</v>
      </c>
      <c r="B15" s="37" t="s">
        <v>442</v>
      </c>
      <c r="C15" s="37" t="s">
        <v>443</v>
      </c>
      <c r="D15" s="37" t="s">
        <v>444</v>
      </c>
      <c r="E15" s="37" t="s">
        <v>445</v>
      </c>
      <c r="F15" s="37" t="s">
        <v>425</v>
      </c>
      <c r="G15" s="20" t="n">
        <v>3000</v>
      </c>
      <c r="H15" s="22" t="n">
        <f aca="false">Allocation!C16/(Allocation!C5/1000)</f>
        <v>2417.64466149521</v>
      </c>
      <c r="I15" s="22" t="n">
        <f aca="false">Allocation!D16/(Allocation!D5/1000)</f>
        <v>3294.31184784461</v>
      </c>
      <c r="J15" s="38" t="n">
        <f aca="false">IF($F15="lower",IF(H15&lt;=$G15,1,0),IF(H15&gt;=$G15,1,0))</f>
        <v>0</v>
      </c>
      <c r="K15" s="38" t="n">
        <f aca="false">IF($F15="lower",IF(I15&lt;=$G15,1,0),IF(I15&gt;=$G15,1,0))</f>
        <v>1</v>
      </c>
    </row>
    <row r="16" customFormat="false" ht="26.85" hidden="false" customHeight="false" outlineLevel="0" collapsed="false">
      <c r="A16" s="37" t="s">
        <v>446</v>
      </c>
      <c r="B16" s="37" t="s">
        <v>442</v>
      </c>
      <c r="C16" s="37" t="s">
        <v>447</v>
      </c>
      <c r="D16" s="37" t="s">
        <v>448</v>
      </c>
      <c r="E16" s="37" t="s">
        <v>375</v>
      </c>
      <c r="F16" s="37" t="s">
        <v>425</v>
      </c>
      <c r="G16" s="17" t="n">
        <v>0.25</v>
      </c>
      <c r="H16" s="32" t="n">
        <f aca="false">(Allocation!C14+Allocation!C15)/Allocation!C16</f>
        <v>0</v>
      </c>
      <c r="I16" s="32" t="n">
        <f aca="false">(Allocation!D14+Allocation!D15)/Allocation!D16</f>
        <v>0.329341317365269</v>
      </c>
      <c r="J16" s="38" t="n">
        <f aca="false">IF($F16="lower",IF(H16&lt;=$G16,1,0),IF(H16&gt;=$G16,1,0))</f>
        <v>0</v>
      </c>
      <c r="K16" s="38" t="n">
        <f aca="false">IF($F16="lower",IF(I16&lt;=$G16,1,0),IF(I16&gt;=$G16,1,0))</f>
        <v>1</v>
      </c>
    </row>
    <row r="18" customFormat="false" ht="15" hidden="false" customHeight="false" outlineLevel="0" collapsed="false">
      <c r="C18" s="3" t="s">
        <v>449</v>
      </c>
      <c r="H18" s="3" t="str">
        <f aca="false">SUM(J5:J16)&amp;" of 12"</f>
        <v>2 of 12</v>
      </c>
      <c r="I18" s="3" t="str">
        <f aca="false">SUM(K5:K16)&amp;" of 12"</f>
        <v>11 of 12</v>
      </c>
    </row>
    <row r="20" customFormat="false" ht="15" hidden="false" customHeight="false" outlineLevel="0" collapsed="false">
      <c r="A20" s="2" t="s">
        <v>450</v>
      </c>
    </row>
    <row r="21" customFormat="false" ht="15" hidden="false" customHeight="false" outlineLevel="0" collapsed="false">
      <c r="A21" s="2" t="s">
        <v>451</v>
      </c>
    </row>
    <row r="22" customFormat="false" ht="15" hidden="false" customHeight="false" outlineLevel="0" collapsed="false">
      <c r="A22" s="2" t="s">
        <v>452</v>
      </c>
    </row>
  </sheetData>
  <conditionalFormatting sqref="H5:H16">
    <cfRule type="expression" priority="2" aboveAverage="0" equalAverage="0" bottom="0" percent="0" rank="0" text="" dxfId="0">
      <formula>J5=1</formula>
    </cfRule>
    <cfRule type="expression" priority="3" aboveAverage="0" equalAverage="0" bottom="0" percent="0" rank="0" text="" dxfId="1">
      <formula>J5=0</formula>
    </cfRule>
  </conditionalFormatting>
  <conditionalFormatting sqref="I5:I16">
    <cfRule type="expression" priority="4" aboveAverage="0" equalAverage="0" bottom="0" percent="0" rank="0" text="" dxfId="0">
      <formula>K5=1</formula>
    </cfRule>
    <cfRule type="expression" priority="5" aboveAverage="0" equalAverage="0" bottom="0" percent="0" rank="0" text="" dxfId="1">
      <formula>K5=0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5"/>
    <col collapsed="false" customWidth="true" hidden="false" outlineLevel="0" max="3" min="3" style="0" width="20"/>
    <col collapsed="false" customWidth="true" hidden="false" outlineLevel="0" max="4" min="4" style="0" width="18"/>
    <col collapsed="false" customWidth="true" hidden="false" outlineLevel="0" max="5" min="5" style="0" width="22"/>
    <col collapsed="false" customWidth="true" hidden="false" outlineLevel="0" max="6" min="6" style="0" width="14"/>
  </cols>
  <sheetData>
    <row r="1" customFormat="false" ht="17.35" hidden="false" customHeight="false" outlineLevel="0" collapsed="false">
      <c r="A1" s="1" t="s">
        <v>453</v>
      </c>
    </row>
    <row r="2" customFormat="false" ht="15" hidden="false" customHeight="false" outlineLevel="0" collapsed="false">
      <c r="A2" s="2" t="s">
        <v>1</v>
      </c>
    </row>
    <row r="4" customFormat="false" ht="26.85" hidden="false" customHeight="false" outlineLevel="0" collapsed="false">
      <c r="A4" s="5" t="s">
        <v>454</v>
      </c>
      <c r="B4" s="5" t="s">
        <v>100</v>
      </c>
      <c r="C4" s="5" t="s">
        <v>259</v>
      </c>
      <c r="D4" s="5" t="s">
        <v>260</v>
      </c>
      <c r="E4" s="5" t="s">
        <v>455</v>
      </c>
    </row>
    <row r="5" customFormat="false" ht="15" hidden="false" customHeight="false" outlineLevel="0" collapsed="false">
      <c r="A5" s="4" t="s">
        <v>456</v>
      </c>
      <c r="B5" s="4" t="s">
        <v>457</v>
      </c>
      <c r="C5" s="22" t="n">
        <f aca="false">LCIA!C24</f>
        <v>115815.2</v>
      </c>
      <c r="D5" s="22" t="n">
        <f aca="false">LCIA!D24</f>
        <v>126733.6</v>
      </c>
      <c r="E5" s="40" t="n">
        <f aca="false">IFERROR(D5/C5-1,0)</f>
        <v>0.0942743266859618</v>
      </c>
    </row>
    <row r="6" customFormat="false" ht="15" hidden="false" customHeight="false" outlineLevel="0" collapsed="false">
      <c r="A6" s="4" t="s">
        <v>458</v>
      </c>
      <c r="B6" s="4" t="s">
        <v>459</v>
      </c>
      <c r="C6" s="22" t="n">
        <f aca="false">LCIA!C46</f>
        <v>4856.27</v>
      </c>
      <c r="D6" s="22" t="n">
        <f aca="false">LCIA!D46</f>
        <v>4323.1</v>
      </c>
      <c r="E6" s="40" t="n">
        <f aca="false">IFERROR(D6/C6-1,0)</f>
        <v>-0.109790024030789</v>
      </c>
    </row>
    <row r="7" customFormat="false" ht="15" hidden="false" customHeight="false" outlineLevel="0" collapsed="false">
      <c r="A7" s="4" t="s">
        <v>460</v>
      </c>
      <c r="B7" s="4" t="s">
        <v>461</v>
      </c>
      <c r="C7" s="22" t="n">
        <f aca="false">LCIA!C68/1000</f>
        <v>1826.1</v>
      </c>
      <c r="D7" s="22" t="n">
        <f aca="false">LCIA!D68/1000</f>
        <v>2126.2</v>
      </c>
      <c r="E7" s="40" t="n">
        <f aca="false">IFERROR(D7/C7-1,0)</f>
        <v>0.164339302338317</v>
      </c>
    </row>
    <row r="8" customFormat="false" ht="15" hidden="false" customHeight="false" outlineLevel="0" collapsed="false">
      <c r="A8" s="4" t="s">
        <v>278</v>
      </c>
      <c r="B8" s="4" t="s">
        <v>462</v>
      </c>
      <c r="C8" s="22" t="n">
        <f aca="false">LCI!C24/1000</f>
        <v>40</v>
      </c>
      <c r="D8" s="22" t="n">
        <f aca="false">LCI!D24/1000</f>
        <v>115</v>
      </c>
      <c r="E8" s="40" t="n">
        <f aca="false">IFERROR(D8/C8-1,0)</f>
        <v>1.875</v>
      </c>
    </row>
    <row r="9" customFormat="false" ht="15" hidden="false" customHeight="false" outlineLevel="0" collapsed="false">
      <c r="A9" s="4" t="s">
        <v>463</v>
      </c>
      <c r="B9" s="4" t="s">
        <v>389</v>
      </c>
      <c r="C9" s="33" t="n">
        <f aca="false">Allocation!C22</f>
        <v>2.89538</v>
      </c>
      <c r="D9" s="33" t="n">
        <f aca="false">Allocation!D22</f>
        <v>2.12487473053892</v>
      </c>
      <c r="E9" s="40" t="n">
        <f aca="false">IFERROR(D9/C9-1,0)</f>
        <v>-0.266115421623786</v>
      </c>
    </row>
    <row r="10" customFormat="false" ht="15" hidden="false" customHeight="false" outlineLevel="0" collapsed="false">
      <c r="A10" s="4" t="s">
        <v>464</v>
      </c>
      <c r="B10" s="4" t="s">
        <v>389</v>
      </c>
      <c r="C10" s="33" t="n">
        <f aca="false">Allocation!C21</f>
        <v>2.89538</v>
      </c>
      <c r="D10" s="33" t="n">
        <f aca="false">Allocation!D21</f>
        <v>1.10203130434783</v>
      </c>
      <c r="E10" s="40" t="n">
        <f aca="false">IFERROR(D10/C10-1,0)</f>
        <v>-0.619382842891839</v>
      </c>
    </row>
    <row r="11" customFormat="false" ht="15" hidden="false" customHeight="false" outlineLevel="0" collapsed="false">
      <c r="A11" s="4" t="s">
        <v>465</v>
      </c>
      <c r="B11" s="4" t="s">
        <v>394</v>
      </c>
      <c r="C11" s="35" t="n">
        <f aca="false">Allocation!C25</f>
        <v>0.12140675</v>
      </c>
      <c r="D11" s="35" t="n">
        <f aca="false">Allocation!D25</f>
        <v>0.0724831137724551</v>
      </c>
      <c r="E11" s="40" t="n">
        <f aca="false">IFERROR(D11/C11-1,0)</f>
        <v>-0.402972950248194</v>
      </c>
    </row>
    <row r="12" customFormat="false" ht="15" hidden="false" customHeight="false" outlineLevel="0" collapsed="false">
      <c r="A12" s="4" t="s">
        <v>423</v>
      </c>
      <c r="B12" s="4" t="s">
        <v>375</v>
      </c>
      <c r="C12" s="32" t="n">
        <f aca="false">IFERROR('Nutrient balance'!C10/'Nutrient balance'!C9,0)</f>
        <v>0</v>
      </c>
      <c r="D12" s="32" t="n">
        <f aca="false">IFERROR('Nutrient balance'!D10/'Nutrient balance'!D9,0)</f>
        <v>0.183333333333333</v>
      </c>
      <c r="E12" s="41" t="n">
        <f aca="false">D12-C12</f>
        <v>0.183333333333333</v>
      </c>
    </row>
    <row r="13" customFormat="false" ht="15" hidden="false" customHeight="false" outlineLevel="0" collapsed="false">
      <c r="A13" s="4" t="s">
        <v>309</v>
      </c>
      <c r="B13" s="4" t="s">
        <v>466</v>
      </c>
      <c r="C13" s="22" t="n">
        <f aca="false">'Nutrient balance'!C11</f>
        <v>3000</v>
      </c>
      <c r="D13" s="22" t="n">
        <f aca="false">'Nutrient balance'!D11</f>
        <v>2450</v>
      </c>
      <c r="E13" s="40" t="n">
        <f aca="false">IFERROR(D13/C13-1,0)</f>
        <v>-0.183333333333333</v>
      </c>
    </row>
    <row r="14" customFormat="false" ht="15" hidden="false" customHeight="false" outlineLevel="0" collapsed="false">
      <c r="A14" s="4" t="s">
        <v>467</v>
      </c>
      <c r="B14" s="4" t="s">
        <v>468</v>
      </c>
      <c r="C14" s="42" t="str">
        <f aca="false">'KPI framework'!H18</f>
        <v>2 of 12</v>
      </c>
      <c r="D14" s="42" t="str">
        <f aca="false">'KPI framework'!I18</f>
        <v>11 of 12</v>
      </c>
    </row>
    <row r="16" customFormat="false" ht="15" hidden="false" customHeight="false" outlineLevel="0" collapsed="false">
      <c r="A16" s="3" t="s">
        <v>469</v>
      </c>
    </row>
    <row r="17" customFormat="false" ht="15" hidden="false" customHeight="false" outlineLevel="0" collapsed="false">
      <c r="A17" s="4" t="s">
        <v>470</v>
      </c>
    </row>
    <row r="18" customFormat="false" ht="15" hidden="false" customHeight="false" outlineLevel="0" collapsed="false">
      <c r="A18" s="4" t="s">
        <v>471</v>
      </c>
    </row>
    <row r="19" customFormat="false" ht="15" hidden="false" customHeight="false" outlineLevel="0" collapsed="false">
      <c r="A19" s="4" t="s">
        <v>472</v>
      </c>
    </row>
    <row r="20" customFormat="false" ht="15" hidden="false" customHeight="false" outlineLevel="0" collapsed="false">
      <c r="A20" s="4" t="s">
        <v>473</v>
      </c>
    </row>
    <row r="21" customFormat="false" ht="15" hidden="false" customHeight="false" outlineLevel="0" collapsed="false">
      <c r="A21" s="4" t="s">
        <v>474</v>
      </c>
    </row>
    <row r="22" customFormat="false" ht="15" hidden="false" customHeight="false" outlineLevel="0" collapsed="false">
      <c r="A22" s="8" t="s">
        <v>475</v>
      </c>
      <c r="B22" s="9"/>
      <c r="C22" s="9"/>
      <c r="D22" s="9"/>
      <c r="E22" s="9"/>
      <c r="F22" s="9"/>
    </row>
    <row r="23" customFormat="false" ht="26.85" hidden="false" customHeight="false" outlineLevel="0" collapsed="false">
      <c r="A23" s="5" t="s">
        <v>454</v>
      </c>
      <c r="B23" s="5" t="s">
        <v>100</v>
      </c>
      <c r="C23" s="5" t="s">
        <v>476</v>
      </c>
      <c r="D23" s="5" t="s">
        <v>477</v>
      </c>
      <c r="E23" s="5" t="s">
        <v>478</v>
      </c>
      <c r="F23" s="5"/>
    </row>
    <row r="24" customFormat="false" ht="15" hidden="false" customHeight="false" outlineLevel="0" collapsed="false">
      <c r="A24" s="4" t="s">
        <v>479</v>
      </c>
      <c r="B24" s="4" t="s">
        <v>389</v>
      </c>
      <c r="C24" s="43" t="n">
        <f aca="false">D9</f>
        <v>2.12487473053892</v>
      </c>
      <c r="D24" s="39" t="n">
        <f aca="false">'openLCA results'!D6</f>
        <v>1.82564018438177</v>
      </c>
      <c r="E24" s="44" t="n">
        <f aca="false">IF(D24="","paste openLCA value",D24/C24-1)</f>
        <v>-0.140824558669987</v>
      </c>
    </row>
    <row r="25" customFormat="false" ht="15" hidden="false" customHeight="false" outlineLevel="0" collapsed="false">
      <c r="A25" s="4" t="s">
        <v>465</v>
      </c>
      <c r="B25" s="4" t="s">
        <v>394</v>
      </c>
      <c r="C25" s="43" t="n">
        <f aca="false">D11</f>
        <v>0.0724831137724551</v>
      </c>
      <c r="D25" s="39" t="n">
        <f aca="false">'openLCA results'!D10</f>
        <v>0.00950803831937285</v>
      </c>
      <c r="E25" s="44" t="n">
        <f aca="false">IF(D25="","paste openLCA value",D25/C25-1)</f>
        <v>-0.868824091232873</v>
      </c>
    </row>
    <row r="27" customFormat="false" ht="15" hidden="false" customHeight="false" outlineLevel="0" collapsed="false">
      <c r="A27" s="2" t="s">
        <v>480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6"/>
    <col collapsed="false" customWidth="true" hidden="false" outlineLevel="0" max="3" min="3" style="0" width="24"/>
    <col collapsed="false" customWidth="true" hidden="false" outlineLevel="0" max="4" min="4" style="0" width="18"/>
    <col collapsed="false" customWidth="true" hidden="false" outlineLevel="0" max="5" min="5" style="0" width="58"/>
  </cols>
  <sheetData>
    <row r="1" customFormat="false" ht="17.35" hidden="false" customHeight="false" outlineLevel="0" collapsed="false">
      <c r="A1" s="1" t="s">
        <v>481</v>
      </c>
    </row>
    <row r="2" customFormat="false" ht="15" hidden="false" customHeight="false" outlineLevel="0" collapsed="false">
      <c r="A2" s="2" t="s">
        <v>482</v>
      </c>
    </row>
    <row r="4" customFormat="false" ht="15" hidden="false" customHeight="false" outlineLevel="0" collapsed="false">
      <c r="A4" s="8" t="s">
        <v>483</v>
      </c>
      <c r="B4" s="9"/>
      <c r="C4" s="9"/>
      <c r="D4" s="9"/>
      <c r="E4" s="9"/>
    </row>
    <row r="5" customFormat="false" ht="15" hidden="false" customHeight="false" outlineLevel="0" collapsed="false">
      <c r="A5" s="5" t="s">
        <v>484</v>
      </c>
      <c r="B5" s="5" t="s">
        <v>100</v>
      </c>
      <c r="C5" s="5" t="s">
        <v>485</v>
      </c>
      <c r="D5" s="5" t="s">
        <v>486</v>
      </c>
      <c r="E5" s="5" t="s">
        <v>202</v>
      </c>
    </row>
    <row r="6" customFormat="false" ht="15" hidden="false" customHeight="false" outlineLevel="0" collapsed="false">
      <c r="A6" s="3" t="s">
        <v>334</v>
      </c>
      <c r="B6" s="4" t="s">
        <v>487</v>
      </c>
      <c r="C6" s="45" t="n">
        <v>73025.6073752709</v>
      </c>
      <c r="D6" s="46" t="n">
        <f aca="false">C6/40000</f>
        <v>1.82564018438177</v>
      </c>
    </row>
    <row r="7" customFormat="false" ht="15" hidden="false" customHeight="false" outlineLevel="0" collapsed="false">
      <c r="A7" s="4" t="s">
        <v>488</v>
      </c>
      <c r="B7" s="4" t="s">
        <v>487</v>
      </c>
      <c r="C7" s="45" t="n">
        <v>52055.9407184628</v>
      </c>
      <c r="D7" s="46" t="n">
        <f aca="false">C7/40000</f>
        <v>1.30139851796157</v>
      </c>
    </row>
    <row r="8" customFormat="false" ht="15" hidden="false" customHeight="false" outlineLevel="0" collapsed="false">
      <c r="A8" s="4" t="s">
        <v>489</v>
      </c>
      <c r="B8" s="4" t="s">
        <v>487</v>
      </c>
      <c r="C8" s="45" t="n">
        <v>20928.1395076474</v>
      </c>
      <c r="D8" s="46" t="n">
        <f aca="false">C8/40000</f>
        <v>0.523203487691185</v>
      </c>
      <c r="E8" s="2" t="s">
        <v>490</v>
      </c>
    </row>
    <row r="9" customFormat="false" ht="15" hidden="false" customHeight="false" outlineLevel="0" collapsed="false">
      <c r="A9" s="4" t="s">
        <v>491</v>
      </c>
      <c r="B9" s="4" t="s">
        <v>487</v>
      </c>
      <c r="C9" s="45" t="n">
        <v>41.5271491607228</v>
      </c>
      <c r="D9" s="46" t="n">
        <f aca="false">C9/40000</f>
        <v>0.00103817872901807</v>
      </c>
    </row>
    <row r="10" customFormat="false" ht="15" hidden="false" customHeight="false" outlineLevel="0" collapsed="false">
      <c r="A10" s="3" t="s">
        <v>492</v>
      </c>
      <c r="B10" s="4" t="s">
        <v>493</v>
      </c>
      <c r="C10" s="45" t="n">
        <v>380.321532774914</v>
      </c>
      <c r="D10" s="46" t="n">
        <f aca="false">C10/40000</f>
        <v>0.00950803831937285</v>
      </c>
      <c r="E10" s="47" t="s">
        <v>494</v>
      </c>
    </row>
    <row r="11" customFormat="false" ht="15" hidden="false" customHeight="false" outlineLevel="0" collapsed="false">
      <c r="A11" s="4" t="s">
        <v>495</v>
      </c>
      <c r="B11" s="4" t="s">
        <v>496</v>
      </c>
      <c r="C11" s="45" t="n">
        <v>27.1232812981076</v>
      </c>
      <c r="D11" s="46" t="n">
        <f aca="false">C11/40000</f>
        <v>0.000678082032452691</v>
      </c>
    </row>
    <row r="12" customFormat="false" ht="15" hidden="false" customHeight="false" outlineLevel="0" collapsed="false">
      <c r="A12" s="4" t="s">
        <v>497</v>
      </c>
      <c r="B12" s="4" t="s">
        <v>498</v>
      </c>
      <c r="C12" s="45" t="n">
        <v>1997.92867847646</v>
      </c>
      <c r="D12" s="46" t="n">
        <f aca="false">C12/40000</f>
        <v>0.0499482169619116</v>
      </c>
    </row>
    <row r="13" customFormat="false" ht="15" hidden="false" customHeight="false" outlineLevel="0" collapsed="false">
      <c r="A13" s="4" t="s">
        <v>499</v>
      </c>
      <c r="B13" s="4" t="s">
        <v>500</v>
      </c>
      <c r="C13" s="45" t="n">
        <v>581.77718718493</v>
      </c>
      <c r="D13" s="46" t="n">
        <f aca="false">C13/40000</f>
        <v>0.0145444296796233</v>
      </c>
    </row>
    <row r="14" customFormat="false" ht="15" hidden="false" customHeight="false" outlineLevel="0" collapsed="false">
      <c r="A14" s="4" t="s">
        <v>501</v>
      </c>
      <c r="B14" s="4" t="s">
        <v>502</v>
      </c>
      <c r="C14" s="45" t="n">
        <v>0.00525982477586915</v>
      </c>
      <c r="D14" s="46" t="n">
        <f aca="false">C14/40000</f>
        <v>1.31495619396729E-007</v>
      </c>
    </row>
    <row r="15" customFormat="false" ht="15" hidden="false" customHeight="false" outlineLevel="0" collapsed="false">
      <c r="A15" s="4" t="s">
        <v>503</v>
      </c>
      <c r="B15" s="4" t="s">
        <v>504</v>
      </c>
      <c r="C15" s="45" t="n">
        <v>3758913.41349455</v>
      </c>
      <c r="D15" s="46" t="n">
        <f aca="false">C15/40000</f>
        <v>93.9728353373637</v>
      </c>
    </row>
    <row r="16" customFormat="false" ht="15" hidden="false" customHeight="false" outlineLevel="0" collapsed="false">
      <c r="A16" s="4" t="s">
        <v>505</v>
      </c>
      <c r="B16" s="4" t="s">
        <v>506</v>
      </c>
      <c r="C16" s="45" t="n">
        <v>102628.367149721</v>
      </c>
      <c r="D16" s="46" t="n">
        <f aca="false">C16/40000</f>
        <v>2.56570917874302</v>
      </c>
    </row>
    <row r="17" customFormat="false" ht="15" hidden="false" customHeight="false" outlineLevel="0" collapsed="false">
      <c r="A17" s="4" t="s">
        <v>507</v>
      </c>
      <c r="B17" s="4" t="s">
        <v>508</v>
      </c>
      <c r="C17" s="45" t="n">
        <v>591359.26673458</v>
      </c>
      <c r="D17" s="46" t="n">
        <f aca="false">C17/40000</f>
        <v>14.7839816683645</v>
      </c>
    </row>
    <row r="18" customFormat="false" ht="15" hidden="false" customHeight="false" outlineLevel="0" collapsed="false">
      <c r="A18" s="4" t="s">
        <v>509</v>
      </c>
      <c r="B18" s="4" t="s">
        <v>510</v>
      </c>
      <c r="C18" s="45" t="n">
        <v>1.79420977170955</v>
      </c>
      <c r="D18" s="46" t="n">
        <f aca="false">C18/40000</f>
        <v>4.48552442927388E-005</v>
      </c>
    </row>
    <row r="19" customFormat="false" ht="15" hidden="false" customHeight="false" outlineLevel="0" collapsed="false">
      <c r="A19" s="4" t="s">
        <v>511</v>
      </c>
      <c r="B19" s="4" t="s">
        <v>512</v>
      </c>
      <c r="C19" s="45" t="n">
        <v>0.00680850025374759</v>
      </c>
      <c r="D19" s="46" t="n">
        <f aca="false">C19/40000</f>
        <v>1.7021250634369E-007</v>
      </c>
    </row>
    <row r="20" customFormat="false" ht="15" hidden="false" customHeight="false" outlineLevel="0" collapsed="false">
      <c r="A20" s="4" t="s">
        <v>513</v>
      </c>
      <c r="B20" s="4" t="s">
        <v>514</v>
      </c>
      <c r="C20" s="45" t="n">
        <v>245.02941226844</v>
      </c>
      <c r="D20" s="46" t="n">
        <f aca="false">C20/40000</f>
        <v>0.00612573530671101</v>
      </c>
    </row>
    <row r="21" customFormat="false" ht="15" hidden="false" customHeight="false" outlineLevel="0" collapsed="false">
      <c r="A21" s="4" t="s">
        <v>515</v>
      </c>
      <c r="B21" s="4" t="s">
        <v>516</v>
      </c>
      <c r="C21" s="45" t="n">
        <v>2382.14753038133</v>
      </c>
      <c r="D21" s="46" t="n">
        <f aca="false">C21/40000</f>
        <v>0.0595536882595333</v>
      </c>
    </row>
    <row r="22" customFormat="false" ht="15" hidden="false" customHeight="false" outlineLevel="0" collapsed="false">
      <c r="A22" s="4" t="s">
        <v>517</v>
      </c>
      <c r="B22" s="4" t="s">
        <v>518</v>
      </c>
      <c r="C22" s="45" t="n">
        <v>1381154.669238</v>
      </c>
      <c r="D22" s="46" t="n">
        <f aca="false">C22/40000</f>
        <v>34.52886673095</v>
      </c>
    </row>
    <row r="23" customFormat="false" ht="15" hidden="false" customHeight="false" outlineLevel="0" collapsed="false">
      <c r="A23" s="4" t="s">
        <v>519</v>
      </c>
      <c r="B23" s="4" t="s">
        <v>520</v>
      </c>
      <c r="C23" s="45" t="n">
        <v>7.19969262801425E-005</v>
      </c>
      <c r="D23" s="46" t="n">
        <f aca="false">C23/40000</f>
        <v>1.79992315700356E-009</v>
      </c>
    </row>
    <row r="24" customFormat="false" ht="15" hidden="false" customHeight="false" outlineLevel="0" collapsed="false">
      <c r="A24" s="4" t="s">
        <v>521</v>
      </c>
      <c r="B24" s="4" t="s">
        <v>520</v>
      </c>
      <c r="C24" s="45" t="n">
        <v>0.00177336108296132</v>
      </c>
      <c r="D24" s="46" t="n">
        <f aca="false">C24/40000</f>
        <v>4.43340270740331E-008</v>
      </c>
    </row>
    <row r="26" customFormat="false" ht="15" hidden="false" customHeight="false" outlineLevel="0" collapsed="false">
      <c r="A26" s="8" t="s">
        <v>522</v>
      </c>
      <c r="B26" s="9"/>
      <c r="C26" s="9"/>
      <c r="D26" s="9"/>
      <c r="E26" s="9"/>
    </row>
    <row r="27" customFormat="false" ht="15" hidden="false" customHeight="false" outlineLevel="0" collapsed="false">
      <c r="A27" s="5" t="s">
        <v>523</v>
      </c>
      <c r="B27" s="5" t="s">
        <v>524</v>
      </c>
      <c r="C27" s="5" t="s">
        <v>525</v>
      </c>
      <c r="D27" s="5" t="s">
        <v>526</v>
      </c>
      <c r="E27" s="5"/>
    </row>
    <row r="28" customFormat="false" ht="15" hidden="false" customHeight="false" outlineLevel="0" collapsed="false">
      <c r="A28" s="4" t="s">
        <v>527</v>
      </c>
      <c r="B28" s="48" t="n">
        <v>21685.66</v>
      </c>
      <c r="C28" s="49" t="n">
        <f aca="false">B28/SUM(B$28:B$36)</f>
        <v>0.296959614995395</v>
      </c>
      <c r="D28" s="46" t="n">
        <f aca="false">B28/40000</f>
        <v>0.5421415</v>
      </c>
    </row>
    <row r="29" customFormat="false" ht="15" hidden="false" customHeight="false" outlineLevel="0" collapsed="false">
      <c r="A29" s="4" t="s">
        <v>528</v>
      </c>
      <c r="B29" s="48" t="n">
        <v>13306.96</v>
      </c>
      <c r="C29" s="49" t="n">
        <f aca="false">B29/SUM(B$28:B$36)</f>
        <v>0.182223170443469</v>
      </c>
      <c r="D29" s="46" t="n">
        <f aca="false">B29/40000</f>
        <v>0.332674</v>
      </c>
    </row>
    <row r="30" customFormat="false" ht="15" hidden="false" customHeight="false" outlineLevel="0" collapsed="false">
      <c r="A30" s="4" t="s">
        <v>529</v>
      </c>
      <c r="B30" s="48" t="n">
        <v>8935.07</v>
      </c>
      <c r="C30" s="49" t="n">
        <f aca="false">B30/SUM(B$28:B$36)</f>
        <v>0.122355277503977</v>
      </c>
      <c r="D30" s="46" t="n">
        <f aca="false">B30/40000</f>
        <v>0.22337675</v>
      </c>
    </row>
    <row r="31" customFormat="false" ht="15" hidden="false" customHeight="false" outlineLevel="0" collapsed="false">
      <c r="A31" s="4" t="s">
        <v>530</v>
      </c>
      <c r="B31" s="48" t="n">
        <v>8432.86</v>
      </c>
      <c r="C31" s="49" t="n">
        <f aca="false">B31/SUM(B$28:B$36)</f>
        <v>0.115478102068836</v>
      </c>
      <c r="D31" s="46" t="n">
        <f aca="false">B31/40000</f>
        <v>0.2108215</v>
      </c>
    </row>
    <row r="32" customFormat="false" ht="15" hidden="false" customHeight="false" outlineLevel="0" collapsed="false">
      <c r="A32" s="4" t="s">
        <v>531</v>
      </c>
      <c r="B32" s="48" t="n">
        <v>7432.54</v>
      </c>
      <c r="C32" s="49" t="n">
        <f aca="false">B32/SUM(B$28:B$36)</f>
        <v>0.101779895877639</v>
      </c>
      <c r="D32" s="46" t="n">
        <f aca="false">B32/40000</f>
        <v>0.1858135</v>
      </c>
    </row>
    <row r="33" customFormat="false" ht="15" hidden="false" customHeight="false" outlineLevel="0" collapsed="false">
      <c r="A33" s="4" t="s">
        <v>532</v>
      </c>
      <c r="B33" s="48" t="n">
        <v>7122.4</v>
      </c>
      <c r="C33" s="49" t="n">
        <f aca="false">B33/SUM(B$28:B$36)</f>
        <v>0.0975328932503415</v>
      </c>
      <c r="D33" s="46" t="n">
        <f aca="false">B33/40000</f>
        <v>0.17806</v>
      </c>
    </row>
    <row r="34" customFormat="false" ht="15" hidden="false" customHeight="false" outlineLevel="0" collapsed="false">
      <c r="A34" s="4" t="s">
        <v>533</v>
      </c>
      <c r="B34" s="48" t="n">
        <v>3681.24</v>
      </c>
      <c r="C34" s="49" t="n">
        <f aca="false">B34/SUM(B$28:B$36)</f>
        <v>0.050410253278233</v>
      </c>
      <c r="D34" s="46" t="n">
        <f aca="false">B34/40000</f>
        <v>0.092031</v>
      </c>
    </row>
    <row r="35" customFormat="false" ht="15" hidden="false" customHeight="false" outlineLevel="0" collapsed="false">
      <c r="A35" s="4" t="s">
        <v>534</v>
      </c>
      <c r="B35" s="48" t="n">
        <v>1359.28</v>
      </c>
      <c r="C35" s="49" t="n">
        <f aca="false">B35/SUM(B$28:B$36)</f>
        <v>0.0186137413143497</v>
      </c>
      <c r="D35" s="46" t="n">
        <f aca="false">B35/40000</f>
        <v>0.033982</v>
      </c>
    </row>
    <row r="36" customFormat="false" ht="15" hidden="false" customHeight="false" outlineLevel="0" collapsed="false">
      <c r="A36" s="4" t="s">
        <v>535</v>
      </c>
      <c r="B36" s="48" t="n">
        <v>1069.61</v>
      </c>
      <c r="C36" s="49" t="n">
        <f aca="false">B36/SUM(B$28:B$36)</f>
        <v>0.0146470512677605</v>
      </c>
      <c r="D36" s="46" t="n">
        <f aca="false">B36/40000</f>
        <v>0.02674025</v>
      </c>
    </row>
    <row r="37" customFormat="false" ht="15" hidden="false" customHeight="false" outlineLevel="0" collapsed="false">
      <c r="A37" s="3" t="s">
        <v>364</v>
      </c>
      <c r="B37" s="24" t="n">
        <f aca="false">SUM(B28:B36)</f>
        <v>73025.62</v>
      </c>
    </row>
    <row r="40" customFormat="false" ht="15" hidden="false" customHeight="false" outlineLevel="0" collapsed="false">
      <c r="A40" s="8" t="s">
        <v>536</v>
      </c>
      <c r="B40" s="9"/>
      <c r="C40" s="9"/>
      <c r="D40" s="9"/>
      <c r="E40" s="9"/>
    </row>
    <row r="41" customFormat="false" ht="15" hidden="false" customHeight="false" outlineLevel="0" collapsed="false">
      <c r="A41" s="5" t="s">
        <v>523</v>
      </c>
      <c r="B41" s="5" t="s">
        <v>524</v>
      </c>
      <c r="C41" s="5" t="s">
        <v>525</v>
      </c>
      <c r="D41" s="5" t="s">
        <v>526</v>
      </c>
      <c r="E41" s="5"/>
    </row>
    <row r="42" customFormat="false" ht="15" hidden="false" customHeight="false" outlineLevel="0" collapsed="false">
      <c r="A42" s="4" t="s">
        <v>530</v>
      </c>
      <c r="B42" s="48" t="n">
        <v>317.94</v>
      </c>
      <c r="C42" s="49" t="n">
        <f aca="false">B42/SUM(B$42:B$49)</f>
        <v>0.836002208724462</v>
      </c>
      <c r="D42" s="46" t="n">
        <f aca="false">B42/40000</f>
        <v>0.0079485</v>
      </c>
    </row>
    <row r="43" customFormat="false" ht="15" hidden="false" customHeight="false" outlineLevel="0" collapsed="false">
      <c r="A43" s="4" t="s">
        <v>529</v>
      </c>
      <c r="B43" s="48" t="n">
        <v>20.35</v>
      </c>
      <c r="C43" s="49" t="n">
        <f aca="false">B43/SUM(B$42:B$49)</f>
        <v>0.0535089795167101</v>
      </c>
      <c r="D43" s="46" t="n">
        <f aca="false">B43/40000</f>
        <v>0.00050875</v>
      </c>
    </row>
    <row r="44" customFormat="false" ht="15" hidden="false" customHeight="false" outlineLevel="0" collapsed="false">
      <c r="A44" s="4" t="s">
        <v>528</v>
      </c>
      <c r="B44" s="48" t="n">
        <v>14.73</v>
      </c>
      <c r="C44" s="49" t="n">
        <f aca="false">B44/SUM(B$42:B$49)</f>
        <v>0.0387315610948963</v>
      </c>
      <c r="D44" s="46" t="n">
        <f aca="false">B44/40000</f>
        <v>0.00036825</v>
      </c>
    </row>
    <row r="45" customFormat="false" ht="15" hidden="false" customHeight="false" outlineLevel="0" collapsed="false">
      <c r="A45" s="4" t="s">
        <v>534</v>
      </c>
      <c r="B45" s="48" t="n">
        <v>13.09</v>
      </c>
      <c r="C45" s="49" t="n">
        <f aca="false">B45/SUM(B$42:B$49)</f>
        <v>0.0344192895269648</v>
      </c>
      <c r="D45" s="46" t="n">
        <f aca="false">B45/40000</f>
        <v>0.00032725</v>
      </c>
    </row>
    <row r="46" customFormat="false" ht="15" hidden="false" customHeight="false" outlineLevel="0" collapsed="false">
      <c r="A46" s="4" t="s">
        <v>531</v>
      </c>
      <c r="B46" s="48" t="n">
        <v>6.24</v>
      </c>
      <c r="C46" s="49" t="n">
        <f aca="false">B46/SUM(B$42:B$49)</f>
        <v>0.0164076674292025</v>
      </c>
      <c r="D46" s="46" t="n">
        <f aca="false">B46/40000</f>
        <v>0.000156</v>
      </c>
    </row>
    <row r="47" customFormat="false" ht="15" hidden="false" customHeight="false" outlineLevel="0" collapsed="false">
      <c r="A47" s="4" t="s">
        <v>533</v>
      </c>
      <c r="B47" s="48" t="n">
        <v>5.11</v>
      </c>
      <c r="C47" s="49" t="n">
        <f aca="false">B47/SUM(B$42:B$49)</f>
        <v>0.0134364071415424</v>
      </c>
      <c r="D47" s="46" t="n">
        <f aca="false">B47/40000</f>
        <v>0.00012775</v>
      </c>
    </row>
    <row r="48" customFormat="false" ht="15" hidden="false" customHeight="false" outlineLevel="0" collapsed="false">
      <c r="A48" s="4" t="s">
        <v>527</v>
      </c>
      <c r="B48" s="48" t="n">
        <v>2.1</v>
      </c>
      <c r="C48" s="49" t="n">
        <f aca="false">B48/SUM(B$42:B$49)</f>
        <v>0.00552181115405853</v>
      </c>
      <c r="D48" s="46" t="n">
        <f aca="false">B48/40000</f>
        <v>5.25E-005</v>
      </c>
    </row>
    <row r="49" customFormat="false" ht="15" hidden="false" customHeight="false" outlineLevel="0" collapsed="false">
      <c r="A49" s="4" t="s">
        <v>535</v>
      </c>
      <c r="B49" s="48" t="n">
        <v>0.75</v>
      </c>
      <c r="C49" s="49" t="n">
        <f aca="false">B49/SUM(B$42:B$49)</f>
        <v>0.00197207541216376</v>
      </c>
      <c r="D49" s="46" t="n">
        <f aca="false">B49/40000</f>
        <v>1.875E-005</v>
      </c>
    </row>
    <row r="50" customFormat="false" ht="15" hidden="false" customHeight="false" outlineLevel="0" collapsed="false">
      <c r="A50" s="3" t="s">
        <v>364</v>
      </c>
      <c r="B50" s="24" t="n">
        <f aca="false">SUM(B42:B49)</f>
        <v>380.31</v>
      </c>
    </row>
    <row r="53" customFormat="false" ht="15" hidden="false" customHeight="false" outlineLevel="0" collapsed="false">
      <c r="A53" s="8" t="s">
        <v>537</v>
      </c>
      <c r="B53" s="9"/>
      <c r="C53" s="9"/>
      <c r="D53" s="9"/>
      <c r="E53" s="9"/>
    </row>
    <row r="54" customFormat="false" ht="39.55" hidden="false" customHeight="false" outlineLevel="0" collapsed="false">
      <c r="A54" s="5" t="s">
        <v>454</v>
      </c>
      <c r="B54" s="5" t="s">
        <v>100</v>
      </c>
      <c r="C54" s="5" t="s">
        <v>538</v>
      </c>
      <c r="D54" s="5" t="s">
        <v>539</v>
      </c>
      <c r="E54" s="5" t="s">
        <v>540</v>
      </c>
    </row>
    <row r="55" customFormat="false" ht="15" hidden="false" customHeight="false" outlineLevel="0" collapsed="false">
      <c r="A55" s="4" t="s">
        <v>541</v>
      </c>
      <c r="B55" s="4" t="s">
        <v>389</v>
      </c>
      <c r="C55" s="50" t="n">
        <f aca="false">D6</f>
        <v>1.82564018438177</v>
      </c>
      <c r="D55" s="50" t="n">
        <f aca="false">Allocation!D22</f>
        <v>2.12487473053892</v>
      </c>
      <c r="E55" s="4" t="s">
        <v>542</v>
      </c>
    </row>
    <row r="56" customFormat="false" ht="15" hidden="false" customHeight="false" outlineLevel="0" collapsed="false">
      <c r="A56" s="4" t="s">
        <v>543</v>
      </c>
      <c r="B56" s="4" t="s">
        <v>394</v>
      </c>
      <c r="C56" s="46" t="n">
        <f aca="false">D10</f>
        <v>0.00950803831937285</v>
      </c>
      <c r="D56" s="51" t="n">
        <f aca="false">Allocation!D25</f>
        <v>0.0724831137724551</v>
      </c>
      <c r="E56" s="4" t="s">
        <v>544</v>
      </c>
    </row>
    <row r="58" customFormat="false" ht="15" hidden="false" customHeight="false" outlineLevel="0" collapsed="false">
      <c r="A58" s="8" t="s">
        <v>545</v>
      </c>
      <c r="B58" s="9"/>
      <c r="C58" s="9"/>
      <c r="D58" s="9"/>
      <c r="E58" s="9"/>
    </row>
    <row r="59" customFormat="false" ht="15" hidden="false" customHeight="false" outlineLevel="0" collapsed="false">
      <c r="A59" s="4" t="s">
        <v>546</v>
      </c>
    </row>
    <row r="60" customFormat="false" ht="15" hidden="false" customHeight="false" outlineLevel="0" collapsed="false">
      <c r="A60" s="4" t="s">
        <v>547</v>
      </c>
    </row>
    <row r="61" customFormat="false" ht="15" hidden="false" customHeight="false" outlineLevel="0" collapsed="false">
      <c r="A61" s="4" t="s">
        <v>548</v>
      </c>
    </row>
    <row r="62" customFormat="false" ht="15" hidden="false" customHeight="false" outlineLevel="0" collapsed="false">
      <c r="A62" s="4" t="s">
        <v>549</v>
      </c>
    </row>
    <row r="63" customFormat="false" ht="15" hidden="false" customHeight="false" outlineLevel="0" collapsed="false">
      <c r="A63" s="4" t="s">
        <v>550</v>
      </c>
    </row>
    <row r="64" customFormat="false" ht="15" hidden="false" customHeight="false" outlineLevel="0" collapsed="false">
      <c r="A64" s="4" t="s">
        <v>551</v>
      </c>
    </row>
    <row r="65" customFormat="false" ht="15" hidden="false" customHeight="false" outlineLevel="0" collapsed="false">
      <c r="A65" s="4" t="s">
        <v>552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55"/>
    <col collapsed="false" customWidth="true" hidden="false" outlineLevel="0" max="3" min="3" style="0" width="60"/>
  </cols>
  <sheetData>
    <row r="1" customFormat="false" ht="17.35" hidden="false" customHeight="false" outlineLevel="0" collapsed="false">
      <c r="A1" s="1" t="s">
        <v>553</v>
      </c>
    </row>
    <row r="2" customFormat="false" ht="15" hidden="false" customHeight="false" outlineLevel="0" collapsed="false">
      <c r="A2" s="2" t="s">
        <v>1</v>
      </c>
    </row>
    <row r="4" customFormat="false" ht="15" hidden="false" customHeight="false" outlineLevel="0" collapsed="false">
      <c r="A4" s="5" t="s">
        <v>554</v>
      </c>
      <c r="B4" s="5" t="s">
        <v>555</v>
      </c>
      <c r="C4" s="5" t="s">
        <v>556</v>
      </c>
    </row>
    <row r="5" customFormat="false" ht="39.55" hidden="false" customHeight="false" outlineLevel="0" collapsed="false">
      <c r="A5" s="7" t="s">
        <v>557</v>
      </c>
      <c r="B5" s="7" t="s">
        <v>558</v>
      </c>
      <c r="C5" s="52" t="s">
        <v>559</v>
      </c>
    </row>
    <row r="6" customFormat="false" ht="26.85" hidden="false" customHeight="false" outlineLevel="0" collapsed="false">
      <c r="A6" s="7" t="s">
        <v>560</v>
      </c>
      <c r="B6" s="7" t="s">
        <v>561</v>
      </c>
      <c r="C6" s="52" t="s">
        <v>562</v>
      </c>
    </row>
    <row r="7" customFormat="false" ht="26.85" hidden="false" customHeight="false" outlineLevel="0" collapsed="false">
      <c r="A7" s="7" t="s">
        <v>563</v>
      </c>
      <c r="B7" s="7" t="s">
        <v>564</v>
      </c>
      <c r="C7" s="52" t="s">
        <v>565</v>
      </c>
    </row>
    <row r="8" customFormat="false" ht="26.85" hidden="false" customHeight="false" outlineLevel="0" collapsed="false">
      <c r="A8" s="7" t="s">
        <v>566</v>
      </c>
      <c r="B8" s="7" t="s">
        <v>567</v>
      </c>
      <c r="C8" s="52" t="s">
        <v>568</v>
      </c>
    </row>
    <row r="9" customFormat="false" ht="39.55" hidden="false" customHeight="false" outlineLevel="0" collapsed="false">
      <c r="A9" s="7" t="s">
        <v>569</v>
      </c>
      <c r="B9" s="7" t="s">
        <v>570</v>
      </c>
      <c r="C9" s="52" t="s">
        <v>571</v>
      </c>
    </row>
    <row r="10" customFormat="false" ht="39.55" hidden="false" customHeight="false" outlineLevel="0" collapsed="false">
      <c r="A10" s="7" t="s">
        <v>572</v>
      </c>
      <c r="B10" s="7" t="s">
        <v>573</v>
      </c>
      <c r="C10" s="52" t="s">
        <v>574</v>
      </c>
    </row>
    <row r="12" customFormat="false" ht="15" hidden="false" customHeight="false" outlineLevel="0" collapsed="false">
      <c r="A12" s="53" t="s">
        <v>575</v>
      </c>
    </row>
  </sheetData>
  <hyperlinks>
    <hyperlink ref="C5" r:id="rId1" display="https://aquahoy.com/life-cycle-assessment-integrated-multi-trophic-aquaculture/"/>
    <hyperlink ref="C6" r:id="rId2" display="https://www.mdpi.com/2071-1050/8/12/1228"/>
    <hyperlink ref="C7" r:id="rId3" display="https://www.globalseafood.org/advocate/nutrient-retention-efficiencies-in-integrated-multi-trophic-aquaculture/"/>
    <hyperlink ref="C8" r:id="rId4" display="https://www.mispeces.com/en/news/Greek-Aquaculture-Life-Cycle-Assessment-Highlights-Key-Areas-for-Improvement-and-Opportunities/"/>
    <hyperlink ref="C9" r:id="rId5" display="https://doaj.org/article/0c047700b22741bdb3ae6e5e47b07298"/>
    <hyperlink ref="C10" r:id="rId6" display="https://easychair.org/publications/preprint/P5vQ/op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2026-10-23T18:12:12Z</dcterms:created>
  <dc:creator>openpyxl</dc:creator>
  <dc:description/>
  <dc:language>en-US</dc:language>
  <cp:lastModifiedBy/>
  <dcterms:modified xsi:type="dcterms:W3CDTF">2026-10-23T20:12:18Z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