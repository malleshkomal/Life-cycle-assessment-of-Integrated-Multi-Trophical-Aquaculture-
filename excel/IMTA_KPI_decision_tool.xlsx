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Goal &amp; scope" sheetId="2" state="visible" r:id="rId4"/>
    <sheet name="Metadata" sheetId="3" state="visible" r:id="rId5"/>
    <sheet name="Inventory" sheetId="4" state="visible" r:id="rId6"/>
    <sheet name="Nutrient balance" sheetId="5" state="visible" r:id="rId7"/>
    <sheet name="LCI per tonne" sheetId="6" state="visible" r:id="rId8"/>
    <sheet name="LCIA (Annex 1)" sheetId="7" state="visible" r:id="rId9"/>
    <sheet name="Comparison" sheetId="8" state="visible" r:id="rId10"/>
    <sheet name="KPI framework" sheetId="9" state="visible" r:id="rId11"/>
    <sheet name="Dashboard" sheetId="10" state="visible" r:id="rId12"/>
    <sheet name="Data checks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<sst xmlns="http://schemas.openxmlformats.org/spreadsheetml/2006/main" count="710" uniqueCount="351">
  <si>
    <t xml:space="preserve">Pond IMTA vs fish polyculture: LCA results and circular KPI tool</t>
  </si>
  <si>
    <t xml:space="preserve">Source: INTEGRATE deliverable PI05#3 (IPMA &amp; CTAQUA, 2020). Numbers transcribed from Tables 4-5 and Annex 1; KPI layer added by K. M. Chougule.</t>
  </si>
  <si>
    <t xml:space="preserve">What this workbook does</t>
  </si>
  <si>
    <t xml:space="preserve">It takes the inventory and the life cycle impact results of the INTEGRATE pond study and turns them into a KPI decision tool.</t>
  </si>
  <si>
    <t xml:space="preserve">Three systems are compared per functional unit of 1 tonne of aquatic product (fish + oyster flesh):</t>
  </si>
  <si>
    <t xml:space="preserve">   - Semi-intensive pond IMTA (IPMA, Olhao, Portugal): meagre, white seabream, mullet + oysters + macroalgae (Ulva)</t>
  </si>
  <si>
    <t xml:space="preserve">   - Semi-extensive pond IMTA (Estero Natural, Cadiz, Spain): gilthead seabream + oysters, macroalgae pond fed by the fishpond outflow</t>
  </si>
  <si>
    <t xml:space="preserve">   - Semi-intensive fish polyculture (IPMA): meagre + gilthead seabream, fish only = conventional baseline</t>
  </si>
  <si>
    <t xml:space="preserve">Tabs, left to right</t>
  </si>
  <si>
    <t xml:space="preserve">Goal &amp; scope - functional unit, boundary, software, impact categories, allocation.</t>
  </si>
  <si>
    <t xml:space="preserve">Metadata - dataset description in the LCIS2024 structure.</t>
  </si>
  <si>
    <t xml:space="preserve">Inventory - Table 4 of the report per pond and cycle (yellow), scaled to 1 t aquatic product (formulas).</t>
  </si>
  <si>
    <t xml:space="preserve">LCI per tonne - the foreground inventory for one functional unit (all formulas).</t>
  </si>
  <si>
    <t xml:space="preserve">Nutrient balance - N and P from feed to fish + oysters, macroalgae and water (Table 5); feed N/P recomputed from the recipe.</t>
  </si>
  <si>
    <t xml:space="preserve">LCIA (Annex 1) - impacts per tonne by 11 processes and 7 categories (yellow = report values), with shares.</t>
  </si>
  <si>
    <t xml:space="preserve">Comparison - totals side by side, change against the polyculture baseline, implied impact per kg of feed.</t>
  </si>
  <si>
    <t xml:space="preserve">KPI framework - 13 KPIs (7 environmental, 6 circularity) with targets, pass/fail and colours.</t>
  </si>
  <si>
    <t xml:space="preserve">Dashboard - score per system and charts.</t>
  </si>
  <si>
    <t xml:space="preserve">Data checks - cross-checks between the report tables (two findings are flagged on purpose).</t>
  </si>
  <si>
    <t xml:space="preserve">Sources - report, method references and the author's publications.</t>
  </si>
  <si>
    <t xml:space="preserve">Colour code</t>
  </si>
  <si>
    <t xml:space="preserve">Blue text on yellow = input from the report, you can change it. Black = formula. Green / red = KPI target met / not met.</t>
  </si>
  <si>
    <t xml:space="preserve">Things to try</t>
  </si>
  <si>
    <t xml:space="preserve">- KPI framework: change the improvement target (cell F5) from 10 % to 0 % -&gt; more environmental KPIs pass for the semi-intensive IMTA.</t>
  </si>
  <si>
    <t xml:space="preserve">- Inventory: lower the semi-intensive IMTA feed (C6) -&gt; feed N, N released, FCR and N use efficiency update.</t>
  </si>
  <si>
    <t xml:space="preserve">- Inventory: set the oyster gain of the semi-intensive IMTA to 0 -&gt; the functional unit shrinks and per-tonne values rise.</t>
  </si>
  <si>
    <t xml:space="preserve">Works offline. No macros, no external links.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</si>
  <si>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</si>
  <si>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</si>
  <si>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</si>
  <si>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</si>
  <si>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</si>
  <si>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</si>
  <si>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</si>
  <si>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</si>
  <si>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</si>
  <si>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</si>
  <si>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</si>
  <si>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</si>
  <si>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</si>
  <si>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</si>
  <si>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</si>
  <si>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</si>
  <si>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</si>
  <si>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</si>
  <si>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</si>
  <si>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</si>
  <si>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</si>
  <si>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</si>
  <si>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</si>
  <si>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</si>
  <si>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</si>
  <si>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</si>
  <si>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</si>
  <si>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</si>
  <si>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</si>
  <si>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</si>
  <si>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</si>
  <si>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</si>
  <si>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Metadata (LCIS2024 structure, Nair, Chougule et al. 2025)</t>
  </si>
  <si>
    <t xml:space="preserve">Element</t>
  </si>
  <si>
    <t xml:space="preserve">Label</t>
  </si>
  <si>
    <t xml:space="preserve">Value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</si>
  <si>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</si>
  <si>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</si>
  <si>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</si>
  <si>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</si>
  <si>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</si>
  <si>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</si>
  <si>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</si>
  <si>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</si>
  <si>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</si>
  <si>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</si>
  <si>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</si>
  <si>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</si>
  <si>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</si>
  <si>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</si>
  <si>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</si>
  <si>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</si>
  <si>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</si>
  <si>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</si>
  <si>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</si>
  <si>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</si>
  <si>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Licence</t>
  </si>
  <si>
    <t xml:space="preserve">Report data belong to the INTEGRATE partners; KPI layer CC BY 4.0</t>
  </si>
  <si>
    <t xml:space="preserve">Code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</si>
  <si>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</si>
  <si>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</si>
  <si>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</si>
  <si>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</si>
  <si>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</si>
  <si>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</si>
  <si>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Unit</t>
  </si>
  <si>
    <t xml:space="preserve">Semi-intensive pond IMTA</t>
  </si>
  <si>
    <t xml:space="preserve">Semi-extensive pond IMTA</t>
  </si>
  <si>
    <t xml:space="preserve">Semi-intensive fish polyculture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</si>
  <si>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</si>
  <si>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</si>
  <si>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</si>
  <si>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</si>
  <si>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</si>
  <si>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kg</t>
  </si>
  <si>
    <t xml:space="preserve">seawater used</t>
  </si>
  <si>
    <t xml:space="preserve">m3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</si>
  <si>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</si>
  <si>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</si>
  <si>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</si>
  <si>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</si>
  <si>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</si>
  <si>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</si>
  <si>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%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</si>
  <si>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</si>
  <si>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</si>
  <si>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</si>
  <si>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</si>
  <si>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</si>
  <si>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</si>
  <si>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</si>
  <si>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</si>
  <si>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</si>
  <si>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</si>
  <si>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</si>
  <si>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</si>
  <si>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</si>
  <si>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</si>
  <si>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</si>
  <si>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</si>
  <si>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</si>
  <si>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</si>
  <si>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</si>
  <si>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</si>
  <si>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</si>
  <si>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</si>
  <si>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</si>
  <si>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</si>
  <si>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</si>
  <si>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</si>
  <si>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</si>
  <si>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</si>
  <si>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</si>
  <si>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</si>
  <si>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</si>
  <si>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N in feed</t>
  </si>
  <si>
    <t xml:space="preserve">formula from feed and recipe</t>
  </si>
  <si>
    <t xml:space="preserve">N in fish + oysters</t>
  </si>
  <si>
    <t xml:space="preserve">N in macroalgae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</si>
  <si>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</si>
  <si>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</si>
  <si>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</si>
  <si>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</si>
  <si>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use efficiency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</si>
  <si>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</si>
  <si>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</si>
  <si>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</si>
  <si>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</si>
  <si>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</si>
  <si>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</si>
  <si>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</si>
  <si>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</si>
  <si>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</si>
  <si>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</si>
  <si>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</si>
  <si>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all formulas</t>
  </si>
  <si>
    <t xml:space="preserve">Flow (fp_name)</t>
  </si>
  <si>
    <t xml:space="preserve">Type</t>
  </si>
  <si>
    <t xml:space="preserve">Comment</t>
  </si>
  <si>
    <t xml:space="preserve">aquatic product, fish + oyster flesh, at farm gate</t>
  </si>
  <si>
    <t xml:space="preserve">reference product</t>
  </si>
  <si>
    <t xml:space="preserve">t</t>
  </si>
  <si>
    <t xml:space="preserve">functional unit</t>
  </si>
  <si>
    <t xml:space="preserve">fish, live weight gain</t>
  </si>
  <si>
    <t xml:space="preserve">product</t>
  </si>
  <si>
    <t xml:space="preserve">oyster flesh, weight gain</t>
  </si>
  <si>
    <t xml:space="preserve">macroalgae, biomass gain</t>
  </si>
  <si>
    <t xml:space="preserve">co-product, outside FU</t>
  </si>
  <si>
    <t xml:space="preserve">not allocated any burden</t>
  </si>
  <si>
    <t xml:space="preserve">compound fish feed</t>
  </si>
  <si>
    <t xml:space="preserve">technosphere input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</si>
  <si>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</si>
  <si>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</si>
  <si>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</si>
  <si>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</si>
  <si>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seawater, pumped or tidal</t>
  </si>
  <si>
    <t xml:space="preserve">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</si>
  <si>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</si>
  <si>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</si>
  <si>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</si>
  <si>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nitrogen, to water (net)</t>
  </si>
  <si>
    <t xml:space="preserve">emission</t>
  </si>
  <si>
    <t xml:space="preserve">kg N</t>
  </si>
  <si>
    <t xml:space="preserve">negative = uptake</t>
  </si>
  <si>
    <t xml:space="preserve">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</si>
  <si>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</si>
  <si>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</si>
  <si>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</si>
  <si>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</si>
  <si>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</si>
  <si>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</si>
  <si>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</si>
  <si>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</si>
  <si>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</si>
  <si>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</si>
  <si>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</si>
  <si>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</si>
  <si>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</si>
  <si>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</si>
  <si>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</si>
  <si>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</si>
  <si>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</si>
  <si>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</si>
  <si>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</si>
  <si>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</si>
  <si>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</si>
  <si>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</si>
  <si>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</si>
  <si>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</si>
  <si>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</si>
  <si>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</si>
  <si>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</si>
  <si>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</si>
  <si>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</si>
  <si>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</si>
  <si>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</si>
  <si>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</si>
  <si>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</si>
  <si>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</si>
  <si>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</si>
  <si>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</si>
  <si>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</si>
  <si>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</si>
  <si>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</si>
  <si>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</si>
  <si>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</si>
  <si>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</si>
  <si>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</si>
  <si>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</si>
  <si>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</si>
  <si>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Indicator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</si>
  <si>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</si>
  <si>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</si>
  <si>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</si>
  <si>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</si>
  <si>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</si>
  <si>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</si>
  <si>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</si>
  <si>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</si>
  <si>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</si>
  <si>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</si>
  <si>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</si>
  <si>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</si>
  <si>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</si>
  <si>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</si>
  <si>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</si>
  <si>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</si>
  <si>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</si>
  <si>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</si>
  <si>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</si>
  <si>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</si>
  <si>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</si>
  <si>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</si>
  <si>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</si>
  <si>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</si>
  <si>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</si>
  <si>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</si>
  <si>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</si>
  <si>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</si>
  <si>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</si>
  <si>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</si>
  <si>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</si>
  <si>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</si>
  <si>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</si>
  <si>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</si>
  <si>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</si>
  <si>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</si>
  <si>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</si>
  <si>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</si>
  <si>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</si>
  <si>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</si>
  <si>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</si>
  <si>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</si>
  <si>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</si>
  <si>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</si>
  <si>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</si>
  <si>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</si>
  <si>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</si>
  <si>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</si>
  <si>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Nitrogen use efficiency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</si>
  <si>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</si>
  <si>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</si>
  <si>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</si>
  <si>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</si>
  <si>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</si>
  <si>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</si>
  <si>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</si>
  <si>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</si>
  <si>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</si>
  <si>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</si>
  <si>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</si>
  <si>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</si>
  <si>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</si>
  <si>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</si>
  <si>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</si>
  <si>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</si>
  <si>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</si>
  <si>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</si>
  <si>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</si>
  <si>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</si>
  <si>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</si>
  <si>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</si>
  <si>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Global warming, kg CO2-eq/t</t>
  </si>
  <si>
    <t xml:space="preserve">Eutrophication, kg PO4-eq/t</t>
  </si>
  <si>
    <t xml:space="preserve">Water dependence, m3/t</t>
  </si>
  <si>
    <t xml:space="preserve">Land competition, m2a/t</t>
  </si>
  <si>
    <t xml:space="preserve">Net N released, kg N/t</t>
  </si>
  <si>
    <t xml:space="preserve">Global warming by process (kg CO2-eq per t) - chart data</t>
  </si>
  <si>
    <t xml:space="preserve">Data checks - do the report's tables agree with each other?</t>
  </si>
  <si>
    <t xml:space="preserve">Check</t>
  </si>
  <si>
    <t xml:space="preserve">System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</si>
  <si>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</si>
  <si>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</si>
  <si>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</si>
  <si>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</si>
  <si>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</si>
  <si>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</si>
  <si>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SI-IMTA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</si>
  <si>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</si>
  <si>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</si>
  <si>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</si>
  <si>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</si>
  <si>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</si>
  <si>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</si>
  <si>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</si>
  <si>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</si>
  <si>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</si>
  <si>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SE-IMTA</t>
  </si>
  <si>
    <t xml:space="preserve">semi-extensive: reported 0.56 = feed / (fish + oyster gain), a different definition</t>
  </si>
  <si>
    <t xml:space="preserve">SI-POLY</t>
  </si>
  <si>
    <t xml:space="preserve">polyculture does not match the pond-area rule x 26 months; to clarify with the authors</t>
  </si>
  <si>
    <t xml:space="preserve">Sources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</si>
  <si>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</si>
  <si>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</si>
  <si>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</si>
  <si>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</si>
  <si>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</si>
  <si>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Nutrient balance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</si>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</sst>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#"/>
    <numFmt numFmtId="166" formatCode="#,##0.00##"/>
    <numFmt numFmtId="167" formatCode="@"/>
    <numFmt numFmtId="168" formatCode="0.00"/>
    <numFmt numFmtId="169" formatCode="#,##0.00"/>
    <numFmt numFmtId="170" formatCode="#,##0.0"/>
    <numFmt numFmtId="171" formatCode="0.0%"/>
    <numFmt numFmtId="172" formatCode="#,##0"/>
    <numFmt numFmtId="173" formatCode="\+0%;\-0%;0%"/>
    <numFmt numFmtId="174" formatCode="0%"/>
    <numFmt numFmtId="175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00"/>
      </patternFill>
    </fill>
    <fill>
      <patternFill patternType="solid">
        <fgColor rgb="FFFFF2CC"/>
        <bgColor rgb="FFFFEB9C"/>
      </patternFill>
    </fill>
    <fill>
      <patternFill patternType="solid">
        <fgColor rgb="FFE1F5E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878787"/>
      <rgbColor rgb="FF93A9CE"/>
      <rgbColor rgb="FFAB4744"/>
      <rgbColor rgb="FFFFF2CC"/>
      <rgbColor rgb="FFE1F5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C6EFCE"/>
      <rgbColor rgb="FFFFEB9C"/>
      <rgbColor rgb="FF99CCFF"/>
      <rgbColor rgb="FFD09493"/>
      <rgbColor rgb="FFCC99FF"/>
      <rgbColor rgb="FFFFC7CE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76561669"/>
        <c:axId val="64887165"/>
      </c:barChart>
      <c:catAx>
        <c:axId val="765616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87165"/>
        <c:crosses val="autoZero"/>
        <c:auto val="1"/>
        <c:lblAlgn val="ctr"/>
        <c:lblOffset val="100"/>
        <c:noMultiLvlLbl val="0"/>
      </c:catAx>
      <c:valAx>
        <c:axId val="648871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616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95627614"/>
        <c:axId val="32001664"/>
      </c:barChart>
      <c:catAx>
        <c:axId val="956276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001664"/>
        <c:crosses val="autoZero"/>
        <c:auto val="1"/>
        <c:lblAlgn val="ctr"/>
        <c:lblOffset val="100"/>
        <c:noMultiLvlLbl val="0"/>
      </c:catAx>
      <c:valAx>
        <c:axId val="320016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276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27993352"/>
        <c:axId val="29882837"/>
      </c:barChart>
      <c:catAx>
        <c:axId val="27993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82837"/>
        <c:crosses val="autoZero"/>
        <c:auto val="1"/>
        <c:lblAlgn val="ctr"/>
        <c:lblOffset val="100"/>
        <c:noMultiLvlLbl val="0"/>
      </c:catAx>
      <c:valAx>
        <c:axId val="29882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9933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65160</xdr:colOff>
      <xdr:row>35</xdr:row>
      <xdr:rowOff>50760</xdr:rowOff>
    </xdr:to>
    <xdr:graphicFrame>
      <xdr:nvGraphicFramePr>
        <xdr:cNvPr id="0" name="Chart 1"/>
        <xdr:cNvGraphicFramePr/>
      </xdr:nvGraphicFramePr>
      <xdr:xfrm>
        <a:off x="0" y="3809880"/>
        <a:ext cx="64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472680</xdr:colOff>
      <xdr:row>20</xdr:row>
      <xdr:rowOff>30240</xdr:rowOff>
    </xdr:to>
    <xdr:graphicFrame>
      <xdr:nvGraphicFramePr>
        <xdr:cNvPr id="1" name="Chart 1"/>
        <xdr:cNvGraphicFramePr/>
      </xdr:nvGraphicFramePr>
      <xdr:xfrm>
        <a:off x="8505720" y="571680"/>
        <a:ext cx="719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472680</xdr:colOff>
      <xdr:row>38</xdr:row>
      <xdr:rowOff>72000</xdr:rowOff>
    </xdr:to>
    <xdr:graphicFrame>
      <xdr:nvGraphicFramePr>
        <xdr:cNvPr id="2" name="Chart 2"/>
        <xdr:cNvGraphicFramePr/>
      </xdr:nvGraphicFramePr>
      <xdr:xfrm>
        <a:off x="8505720" y="4762440"/>
        <a:ext cx="719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5" t="s">
        <v>7</v>
      </c>
    </row>
    <row r="10" customFormat="false" ht="15" hidden="false" customHeight="false" outlineLevel="0" collapsed="false">
      <c r="A10" s="5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5" t="s">
        <v>10</v>
      </c>
    </row>
    <row r="14" customFormat="false" ht="15" hidden="false" customHeight="false" outlineLevel="0" collapsed="false">
      <c r="A14" s="5" t="s">
        <v>11</v>
      </c>
    </row>
    <row r="15" customFormat="false" ht="15" hidden="false" customHeight="false" outlineLevel="0" collapsed="false">
      <c r="A15" s="5" t="s">
        <v>12</v>
      </c>
    </row>
    <row r="16" customFormat="false" ht="15" hidden="false" customHeight="false" outlineLevel="0" collapsed="false">
      <c r="A16" s="5" t="s">
        <v>13</v>
      </c>
    </row>
    <row r="17" customFormat="false" ht="15" hidden="false" customHeight="false" outlineLevel="0" collapsed="false">
      <c r="A17" s="5" t="s">
        <v>14</v>
      </c>
    </row>
    <row r="18" customFormat="false" ht="15" hidden="false" customHeight="false" outlineLevel="0" collapsed="false">
      <c r="A18" s="5" t="s">
        <v>15</v>
      </c>
    </row>
    <row r="19" customFormat="false" ht="15" hidden="false" customHeight="false" outlineLevel="0" collapsed="false">
      <c r="A19" s="5" t="s">
        <v>16</v>
      </c>
    </row>
    <row r="20" customFormat="false" ht="15" hidden="false" customHeight="false" outlineLevel="0" collapsed="false">
      <c r="A20" s="5" t="s">
        <v>17</v>
      </c>
    </row>
    <row r="21" customFormat="false" ht="15" hidden="false" customHeight="false" outlineLevel="0" collapsed="false">
      <c r="A21" s="5" t="s">
        <v>18</v>
      </c>
    </row>
    <row r="22" customFormat="false" ht="15" hidden="false" customHeight="false" outlineLevel="0" collapsed="false">
      <c r="A22" s="5" t="s">
        <v>19</v>
      </c>
    </row>
    <row r="23" customFormat="false" ht="15" hidden="false" customHeight="false" outlineLevel="0" collapsed="false">
      <c r="A23" s="5"/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5" t="s">
        <v>21</v>
      </c>
    </row>
    <row r="26" customFormat="false" ht="15" hidden="false" customHeight="false" outlineLevel="0" collapsed="false">
      <c r="A26" s="5"/>
    </row>
    <row r="27" customFormat="false" ht="15" hidden="false" customHeight="false" outlineLevel="0" collapsed="false">
      <c r="A27" s="4" t="s">
        <v>22</v>
      </c>
    </row>
    <row r="28" customFormat="false" ht="15" hidden="false" customHeight="false" outlineLevel="0" collapsed="false">
      <c r="A28" s="5" t="s">
        <v>23</v>
      </c>
    </row>
    <row r="29" customFormat="false" ht="15" hidden="false" customHeight="false" outlineLevel="0" collapsed="false">
      <c r="A29" s="5" t="s">
        <v>24</v>
      </c>
    </row>
    <row r="30" customFormat="false" ht="15" hidden="false" customHeight="false" outlineLevel="0" collapsed="false">
      <c r="A30" s="5" t="s">
        <v>25</v>
      </c>
    </row>
    <row r="31" customFormat="false" ht="15" hidden="false" customHeight="false" outlineLevel="0" collapsed="false">
      <c r="A31" s="5"/>
    </row>
    <row r="32" customFormat="false" ht="15" hidden="false" customHeight="false" outlineLevel="0" collapsed="false">
      <c r="A32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0"/>
    <col collapsed="false" customWidth="true" hidden="false" outlineLevel="0" max="3" min="3" style="1" width="55"/>
  </cols>
  <sheetData>
    <row r="1" customFormat="false" ht="17.35" hidden="false" customHeight="false" outlineLevel="0" collapsed="false">
      <c r="A1" s="2" t="s">
        <v>27</v>
      </c>
    </row>
    <row r="2" customFormat="false" ht="15" hidden="false" customHeight="false" outlineLevel="0" collapsed="false">
      <c r="A2" s="3" t="s">
        <v>28</v>
      </c>
    </row>
    <row r="4" customFormat="false" ht="15" hidden="false" customHeight="false" outlineLevel="0" collapsed="false">
      <c r="A4" s="6" t="s">
        <v>29</v>
      </c>
      <c r="B4" s="6" t="s">
        <v>30</v>
      </c>
      <c r="C4" s="6" t="s">
        <v>31</v>
      </c>
    </row>
    <row r="5" customFormat="false" ht="26.85" hidden="false" customHeight="false" outlineLevel="0" collapsed="false">
      <c r="A5" s="7" t="s">
        <v>32</v>
      </c>
      <c r="B5" s="8" t="s">
        <v>33</v>
      </c>
      <c r="C5" s="8" t="s">
        <v>34</v>
      </c>
    </row>
    <row r="6" customFormat="false" ht="26.85" hidden="false" customHeight="false" outlineLevel="0" collapsed="false">
      <c r="A6" s="7" t="s">
        <v>35</v>
      </c>
      <c r="B6" s="8" t="s">
        <v>36</v>
      </c>
      <c r="C6" s="8" t="s">
        <v>37</v>
      </c>
    </row>
    <row r="7" customFormat="false" ht="39.55" hidden="false" customHeight="false" outlineLevel="0" collapsed="false">
      <c r="A7" s="7" t="s">
        <v>38</v>
      </c>
      <c r="B7" s="8" t="s">
        <v>39</v>
      </c>
      <c r="C7" s="8" t="s">
        <v>40</v>
      </c>
    </row>
    <row r="8" customFormat="false" ht="26.85" hidden="false" customHeight="false" outlineLevel="0" collapsed="false">
      <c r="A8" s="7" t="s">
        <v>41</v>
      </c>
      <c r="B8" s="8" t="s">
        <v>42</v>
      </c>
      <c r="C8" s="8" t="s">
        <v>43</v>
      </c>
    </row>
    <row r="9" customFormat="false" ht="26.85" hidden="false" customHeight="false" outlineLevel="0" collapsed="false">
      <c r="A9" s="7" t="s">
        <v>44</v>
      </c>
      <c r="B9" s="8" t="s">
        <v>45</v>
      </c>
      <c r="C9" s="8" t="s">
        <v>46</v>
      </c>
    </row>
    <row r="10" customFormat="false" ht="15" hidden="false" customHeight="false" outlineLevel="0" collapsed="false">
      <c r="A10" s="7" t="s">
        <v>47</v>
      </c>
      <c r="B10" s="8" t="s">
        <v>48</v>
      </c>
      <c r="C10" s="8" t="s">
        <v>49</v>
      </c>
    </row>
    <row r="11" customFormat="false" ht="26.85" hidden="false" customHeight="false" outlineLevel="0" collapsed="false">
      <c r="A11" s="7" t="s">
        <v>50</v>
      </c>
      <c r="B11" s="8" t="s">
        <v>51</v>
      </c>
      <c r="C11" s="8" t="s">
        <v>52</v>
      </c>
    </row>
    <row r="12" customFormat="false" ht="26.85" hidden="false" customHeight="false" outlineLevel="0" collapsed="false">
      <c r="A12" s="7" t="s">
        <v>53</v>
      </c>
      <c r="B12" s="8" t="s">
        <v>54</v>
      </c>
      <c r="C12" s="8" t="s">
        <v>55</v>
      </c>
    </row>
    <row r="13" customFormat="false" ht="15" hidden="false" customHeight="false" outlineLevel="0" collapsed="false">
      <c r="A13" s="7" t="s">
        <v>56</v>
      </c>
      <c r="B13" s="8" t="s">
        <v>57</v>
      </c>
      <c r="C13" s="8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110"/>
  </cols>
  <sheetData>
    <row r="1" customFormat="false" ht="17.35" hidden="false" customHeight="false" outlineLevel="0" collapsed="false">
      <c r="A1" s="2" t="s">
        <v>59</v>
      </c>
    </row>
    <row r="2" customFormat="false" ht="15" hidden="false" customHeight="false" outlineLevel="0" collapsed="false">
      <c r="A2" s="3" t="s">
        <v>28</v>
      </c>
    </row>
    <row r="4" customFormat="false" ht="15" hidden="false" customHeight="false" outlineLevel="0" collapsed="false">
      <c r="A4" s="6" t="s">
        <v>60</v>
      </c>
      <c r="B4" s="6" t="s">
        <v>61</v>
      </c>
      <c r="C4" s="6" t="s">
        <v>62</v>
      </c>
    </row>
    <row r="5" customFormat="false" ht="15" hidden="false" customHeight="false" outlineLevel="0" collapsed="false">
      <c r="A5" s="8" t="s">
        <v>63</v>
      </c>
      <c r="B5" s="8" t="s">
        <v>64</v>
      </c>
      <c r="C5" s="8" t="s">
        <v>65</v>
      </c>
    </row>
    <row r="6" customFormat="false" ht="15" hidden="false" customHeight="false" outlineLevel="0" collapsed="false">
      <c r="A6" s="8" t="s">
        <v>63</v>
      </c>
      <c r="B6" s="8" t="s">
        <v>66</v>
      </c>
      <c r="C6" s="8" t="s">
        <v>67</v>
      </c>
    </row>
    <row r="7" customFormat="false" ht="15" hidden="false" customHeight="false" outlineLevel="0" collapsed="false">
      <c r="A7" s="8" t="s">
        <v>63</v>
      </c>
      <c r="B7" s="8" t="s">
        <v>68</v>
      </c>
      <c r="C7" s="8" t="s">
        <v>69</v>
      </c>
    </row>
    <row r="8" customFormat="false" ht="15" hidden="false" customHeight="false" outlineLevel="0" collapsed="false">
      <c r="A8" s="8" t="s">
        <v>63</v>
      </c>
      <c r="B8" s="8" t="s">
        <v>70</v>
      </c>
      <c r="C8" s="8" t="s">
        <v>71</v>
      </c>
    </row>
    <row r="9" customFormat="false" ht="15" hidden="false" customHeight="false" outlineLevel="0" collapsed="false">
      <c r="A9" s="8" t="s">
        <v>63</v>
      </c>
      <c r="B9" s="8" t="s">
        <v>35</v>
      </c>
      <c r="C9" s="8" t="s">
        <v>72</v>
      </c>
    </row>
    <row r="10" customFormat="false" ht="15" hidden="false" customHeight="false" outlineLevel="0" collapsed="false">
      <c r="A10" s="8" t="s">
        <v>63</v>
      </c>
      <c r="B10" s="8" t="s">
        <v>73</v>
      </c>
      <c r="C10" s="8" t="s">
        <v>74</v>
      </c>
    </row>
    <row r="11" customFormat="false" ht="15" hidden="false" customHeight="false" outlineLevel="0" collapsed="false">
      <c r="A11" s="8" t="s">
        <v>63</v>
      </c>
      <c r="B11" s="8" t="s">
        <v>75</v>
      </c>
      <c r="C11" s="8" t="s">
        <v>76</v>
      </c>
    </row>
    <row r="12" customFormat="false" ht="26.85" hidden="false" customHeight="false" outlineLevel="0" collapsed="false">
      <c r="A12" s="8" t="s">
        <v>77</v>
      </c>
      <c r="B12" s="8" t="s">
        <v>78</v>
      </c>
      <c r="C12" s="8" t="s">
        <v>79</v>
      </c>
    </row>
    <row r="13" customFormat="false" ht="15" hidden="false" customHeight="false" outlineLevel="0" collapsed="false">
      <c r="A13" s="8" t="s">
        <v>77</v>
      </c>
      <c r="B13" s="8" t="s">
        <v>80</v>
      </c>
      <c r="C13" s="8" t="s">
        <v>81</v>
      </c>
    </row>
    <row r="14" customFormat="false" ht="15" hidden="false" customHeight="false" outlineLevel="0" collapsed="false">
      <c r="A14" s="8" t="s">
        <v>77</v>
      </c>
      <c r="B14" s="8" t="s">
        <v>47</v>
      </c>
      <c r="C14" s="8" t="s">
        <v>82</v>
      </c>
    </row>
    <row r="15" customFormat="false" ht="15" hidden="false" customHeight="false" outlineLevel="0" collapsed="false">
      <c r="A15" s="8" t="s">
        <v>83</v>
      </c>
      <c r="B15" s="8" t="s">
        <v>53</v>
      </c>
      <c r="C15" s="8" t="s">
        <v>84</v>
      </c>
    </row>
    <row r="16" customFormat="false" ht="15" hidden="false" customHeight="false" outlineLevel="0" collapsed="false">
      <c r="A16" s="8" t="s">
        <v>83</v>
      </c>
      <c r="B16" s="8" t="s">
        <v>85</v>
      </c>
      <c r="C16" s="8" t="s">
        <v>86</v>
      </c>
    </row>
    <row r="17" customFormat="false" ht="39.55" hidden="false" customHeight="false" outlineLevel="0" collapsed="false">
      <c r="A17" s="8" t="s">
        <v>87</v>
      </c>
      <c r="B17" s="8" t="s">
        <v>88</v>
      </c>
      <c r="C17" s="8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"/>
    <col collapsed="false" customWidth="true" hidden="false" outlineLevel="0" max="5" min="3" style="1" width="22"/>
    <col collapsed="false" customWidth="true" hidden="false" outlineLevel="0" max="6" min="6" style="1" width="60"/>
  </cols>
  <sheetData>
    <row r="1" customFormat="false" ht="17.35" hidden="false" customHeight="false" outlineLevel="0" collapsed="false">
      <c r="A1" s="2" t="s">
        <v>90</v>
      </c>
    </row>
    <row r="2" customFormat="false" ht="15" hidden="false" customHeight="false" outlineLevel="0" collapsed="false">
      <c r="A2" s="3" t="s">
        <v>28</v>
      </c>
    </row>
    <row r="4" customFormat="false" ht="26.85" hidden="false" customHeight="false" outlineLevel="0" collapsed="false">
      <c r="A4" s="6" t="s">
        <v>91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96</v>
      </c>
    </row>
    <row r="5" customFormat="false" ht="15" hidden="false" customHeight="false" outlineLevel="0" collapsed="false">
      <c r="A5" s="5" t="s">
        <v>97</v>
      </c>
      <c r="B5" s="5" t="s">
        <v>98</v>
      </c>
      <c r="C5" s="9" t="n">
        <v>5.3</v>
      </c>
      <c r="D5" s="9" t="n">
        <v>8.5</v>
      </c>
      <c r="E5" s="9" t="n">
        <v>26</v>
      </c>
      <c r="F5" s="3" t="s">
        <v>99</v>
      </c>
    </row>
    <row r="6" customFormat="false" ht="15" hidden="false" customHeight="false" outlineLevel="0" collapsed="false">
      <c r="A6" s="5" t="s">
        <v>100</v>
      </c>
      <c r="B6" s="5" t="s">
        <v>101</v>
      </c>
      <c r="C6" s="9" t="n">
        <v>1888</v>
      </c>
      <c r="D6" s="9" t="n">
        <v>89</v>
      </c>
      <c r="E6" s="9" t="n">
        <v>10975</v>
      </c>
      <c r="F6" s="3" t="s">
        <v>99</v>
      </c>
    </row>
    <row r="7" customFormat="false" ht="15" hidden="false" customHeight="false" outlineLevel="0" collapsed="false">
      <c r="A7" s="5" t="s">
        <v>102</v>
      </c>
      <c r="B7" s="5" t="s">
        <v>103</v>
      </c>
      <c r="C7" s="9" t="n">
        <v>101110</v>
      </c>
      <c r="D7" s="9" t="n">
        <v>7185</v>
      </c>
      <c r="E7" s="9" t="n">
        <v>1201764</v>
      </c>
      <c r="F7" s="3" t="s">
        <v>99</v>
      </c>
    </row>
    <row r="8" customFormat="false" ht="15" hidden="false" customHeight="false" outlineLevel="0" collapsed="false">
      <c r="A8" s="5" t="s">
        <v>104</v>
      </c>
      <c r="B8" s="5" t="s">
        <v>101</v>
      </c>
      <c r="C8" s="9" t="n">
        <v>677</v>
      </c>
      <c r="D8" s="9" t="n">
        <v>45</v>
      </c>
      <c r="E8" s="9" t="n">
        <v>91</v>
      </c>
      <c r="F8" s="3" t="s">
        <v>105</v>
      </c>
    </row>
    <row r="9" customFormat="false" ht="15" hidden="false" customHeight="false" outlineLevel="0" collapsed="false">
      <c r="A9" s="5" t="s">
        <v>106</v>
      </c>
      <c r="B9" s="5" t="s">
        <v>107</v>
      </c>
      <c r="C9" s="9" t="n">
        <v>5.5</v>
      </c>
      <c r="D9" s="9" t="n">
        <v>14.4</v>
      </c>
      <c r="E9" s="9" t="n">
        <v>0</v>
      </c>
      <c r="F9" s="3" t="s">
        <v>108</v>
      </c>
    </row>
    <row r="10" customFormat="false" ht="15" hidden="false" customHeight="false" outlineLevel="0" collapsed="false">
      <c r="A10" s="5" t="s">
        <v>109</v>
      </c>
      <c r="B10" s="5" t="s">
        <v>110</v>
      </c>
      <c r="C10" s="9" t="n">
        <v>42</v>
      </c>
      <c r="D10" s="9" t="n">
        <v>40</v>
      </c>
      <c r="E10" s="9" t="n">
        <v>42</v>
      </c>
      <c r="F10" s="3" t="s">
        <v>99</v>
      </c>
    </row>
    <row r="11" customFormat="false" ht="15" hidden="false" customHeight="false" outlineLevel="0" collapsed="false">
      <c r="A11" s="5" t="s">
        <v>111</v>
      </c>
      <c r="B11" s="5" t="s">
        <v>110</v>
      </c>
      <c r="C11" s="9" t="n">
        <v>18</v>
      </c>
      <c r="D11" s="9" t="n">
        <v>18</v>
      </c>
      <c r="E11" s="9" t="n">
        <v>18</v>
      </c>
      <c r="F11" s="3" t="s">
        <v>99</v>
      </c>
    </row>
    <row r="12" customFormat="false" ht="15" hidden="false" customHeight="false" outlineLevel="0" collapsed="false">
      <c r="A12" s="5" t="s">
        <v>112</v>
      </c>
      <c r="B12" s="5" t="s">
        <v>110</v>
      </c>
      <c r="C12" s="9" t="n">
        <v>3</v>
      </c>
      <c r="D12" s="9" t="n">
        <v>3.5</v>
      </c>
      <c r="E12" s="9" t="n">
        <v>3</v>
      </c>
      <c r="F12" s="3" t="s">
        <v>99</v>
      </c>
    </row>
    <row r="13" customFormat="false" ht="15" hidden="false" customHeight="false" outlineLevel="0" collapsed="false">
      <c r="A13" s="5" t="s">
        <v>113</v>
      </c>
      <c r="B13" s="5" t="s">
        <v>110</v>
      </c>
      <c r="C13" s="9" t="n">
        <v>9</v>
      </c>
      <c r="D13" s="9" t="n">
        <v>9</v>
      </c>
      <c r="E13" s="9" t="n">
        <v>9</v>
      </c>
      <c r="F13" s="3" t="s">
        <v>99</v>
      </c>
    </row>
    <row r="14" customFormat="false" ht="15" hidden="false" customHeight="false" outlineLevel="0" collapsed="false">
      <c r="A14" s="5" t="s">
        <v>114</v>
      </c>
      <c r="B14" s="5" t="s">
        <v>110</v>
      </c>
      <c r="C14" s="9" t="n">
        <v>1.4</v>
      </c>
      <c r="D14" s="9" t="n">
        <v>1.3</v>
      </c>
      <c r="E14" s="9" t="n">
        <v>1.4</v>
      </c>
      <c r="F14" s="3" t="s">
        <v>99</v>
      </c>
    </row>
    <row r="15" customFormat="false" ht="15" hidden="false" customHeight="false" outlineLevel="0" collapsed="false">
      <c r="A15" s="5" t="s">
        <v>115</v>
      </c>
      <c r="B15" s="5" t="s">
        <v>116</v>
      </c>
      <c r="C15" s="9" t="n">
        <v>90000</v>
      </c>
      <c r="D15" s="9" t="n">
        <v>285000</v>
      </c>
      <c r="E15" s="9" t="n">
        <v>90000</v>
      </c>
      <c r="F15" s="3" t="s">
        <v>99</v>
      </c>
    </row>
    <row r="16" customFormat="false" ht="15" hidden="false" customHeight="false" outlineLevel="0" collapsed="false">
      <c r="A16" s="5" t="s">
        <v>117</v>
      </c>
      <c r="B16" s="5" t="s">
        <v>116</v>
      </c>
      <c r="C16" s="9" t="n">
        <v>23600</v>
      </c>
      <c r="D16" s="9" t="n">
        <v>200000</v>
      </c>
      <c r="E16" s="9" t="n">
        <v>23600</v>
      </c>
      <c r="F16" s="3" t="s">
        <v>99</v>
      </c>
    </row>
    <row r="17" customFormat="false" ht="15" hidden="false" customHeight="false" outlineLevel="0" collapsed="false">
      <c r="A17" s="5" t="s">
        <v>118</v>
      </c>
      <c r="B17" s="5" t="s">
        <v>116</v>
      </c>
      <c r="C17" s="9" t="n">
        <v>700</v>
      </c>
      <c r="D17" s="9" t="n">
        <v>665</v>
      </c>
      <c r="E17" s="9" t="n">
        <v>1700</v>
      </c>
      <c r="F17" s="3" t="s">
        <v>99</v>
      </c>
    </row>
    <row r="18" customFormat="false" ht="15" hidden="false" customHeight="false" outlineLevel="0" collapsed="false">
      <c r="A18" s="5" t="s">
        <v>119</v>
      </c>
      <c r="B18" s="5" t="s">
        <v>101</v>
      </c>
      <c r="C18" s="9" t="n">
        <v>1099</v>
      </c>
      <c r="D18" s="9" t="n">
        <v>65</v>
      </c>
      <c r="E18" s="9" t="n">
        <v>6137</v>
      </c>
      <c r="F18" s="3" t="s">
        <v>99</v>
      </c>
    </row>
    <row r="19" customFormat="false" ht="15" hidden="false" customHeight="false" outlineLevel="0" collapsed="false">
      <c r="A19" s="5" t="s">
        <v>120</v>
      </c>
      <c r="B19" s="5" t="s">
        <v>107</v>
      </c>
      <c r="C19" s="9" t="n">
        <v>130</v>
      </c>
      <c r="D19" s="9" t="n">
        <v>94</v>
      </c>
      <c r="E19" s="9" t="n">
        <v>0</v>
      </c>
      <c r="F19" s="3" t="s">
        <v>99</v>
      </c>
    </row>
    <row r="20" customFormat="false" ht="15" hidden="false" customHeight="false" outlineLevel="0" collapsed="false">
      <c r="A20" s="5" t="s">
        <v>121</v>
      </c>
      <c r="B20" s="5" t="s">
        <v>101</v>
      </c>
      <c r="C20" s="9" t="n">
        <v>1224</v>
      </c>
      <c r="D20" s="9" t="n">
        <v>35400</v>
      </c>
      <c r="E20" s="9" t="n">
        <v>0</v>
      </c>
      <c r="F20" s="3" t="s">
        <v>122</v>
      </c>
    </row>
    <row r="21" customFormat="false" ht="15" hidden="false" customHeight="false" outlineLevel="0" collapsed="false">
      <c r="A21" s="5" t="s">
        <v>123</v>
      </c>
      <c r="B21" s="5" t="s">
        <v>124</v>
      </c>
      <c r="C21" s="9" t="n">
        <v>1.72</v>
      </c>
      <c r="D21" s="9" t="n">
        <v>0.56</v>
      </c>
      <c r="E21" s="9" t="n">
        <v>1.79</v>
      </c>
      <c r="F21" s="3" t="s">
        <v>99</v>
      </c>
    </row>
    <row r="23" customFormat="false" ht="15" hidden="false" customHeight="false" outlineLevel="0" collapsed="false">
      <c r="A23" s="10" t="s">
        <v>125</v>
      </c>
      <c r="B23" s="11"/>
      <c r="C23" s="11"/>
      <c r="D23" s="11"/>
      <c r="E23" s="11"/>
      <c r="F23" s="11"/>
    </row>
    <row r="24" customFormat="false" ht="15" hidden="false" customHeight="false" outlineLevel="0" collapsed="false">
      <c r="A24" s="5" t="s">
        <v>126</v>
      </c>
      <c r="B24" s="5" t="s">
        <v>101</v>
      </c>
      <c r="C24" s="12" t="n">
        <f aca="false">C18+C19</f>
        <v>1229</v>
      </c>
      <c r="D24" s="12" t="n">
        <f aca="false">D18+D19</f>
        <v>159</v>
      </c>
      <c r="E24" s="12" t="n">
        <f aca="false">E18+E19</f>
        <v>6137</v>
      </c>
      <c r="F24" s="3" t="s">
        <v>127</v>
      </c>
    </row>
    <row r="25" customFormat="false" ht="15" hidden="false" customHeight="false" outlineLevel="0" collapsed="false">
      <c r="A25" s="5" t="s">
        <v>128</v>
      </c>
      <c r="B25" s="5" t="s">
        <v>124</v>
      </c>
      <c r="C25" s="12" t="n">
        <f aca="false">1000/C24</f>
        <v>0.813669650122051</v>
      </c>
      <c r="D25" s="12" t="n">
        <f aca="false">1000/D24</f>
        <v>6.28930817610063</v>
      </c>
      <c r="E25" s="12" t="n">
        <f aca="false">1000/E24</f>
        <v>0.162946064852534</v>
      </c>
      <c r="F25" s="3" t="s">
        <v>129</v>
      </c>
    </row>
    <row r="26" customFormat="false" ht="15" hidden="false" customHeight="false" outlineLevel="0" collapsed="false">
      <c r="A26" s="5" t="s">
        <v>130</v>
      </c>
      <c r="B26" s="5" t="s">
        <v>131</v>
      </c>
      <c r="C26" s="12" t="n">
        <f aca="false">C6/C18</f>
        <v>1.7179253867152</v>
      </c>
      <c r="D26" s="12" t="n">
        <f aca="false">D6/D18</f>
        <v>1.36923076923077</v>
      </c>
      <c r="E26" s="12" t="n">
        <f aca="false">E6/E18</f>
        <v>1.78833306175656</v>
      </c>
      <c r="F26" s="3" t="s">
        <v>132</v>
      </c>
    </row>
    <row r="27" customFormat="false" ht="15" hidden="false" customHeight="false" outlineLevel="0" collapsed="false">
      <c r="A27" s="5" t="s">
        <v>133</v>
      </c>
      <c r="B27" s="5" t="s">
        <v>131</v>
      </c>
      <c r="C27" s="12" t="n">
        <f aca="false">C6/C24</f>
        <v>1.53620829943043</v>
      </c>
      <c r="D27" s="12" t="n">
        <f aca="false">D6/D24</f>
        <v>0.559748427672956</v>
      </c>
      <c r="E27" s="12" t="n">
        <f aca="false">E6/E24</f>
        <v>1.78833306175656</v>
      </c>
      <c r="F27" s="3" t="s">
        <v>134</v>
      </c>
    </row>
    <row r="28" customFormat="false" ht="15" hidden="false" customHeight="false" outlineLevel="0" collapsed="false">
      <c r="A28" s="5" t="s">
        <v>135</v>
      </c>
      <c r="B28" s="5" t="s">
        <v>136</v>
      </c>
      <c r="C28" s="12" t="n">
        <f aca="false">C15*C17/C16*C5/12</f>
        <v>1179.02542372881</v>
      </c>
      <c r="D28" s="12" t="n">
        <f aca="false">D15*D17/D16*D5/12</f>
        <v>671.234375</v>
      </c>
      <c r="E28" s="12" t="n">
        <f aca="false">E15*E17/E16*E5/12</f>
        <v>14046.6101694915</v>
      </c>
      <c r="F28" s="3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"/>
    <col collapsed="false" customWidth="true" hidden="false" outlineLevel="0" max="5" min="3" style="1" width="22"/>
    <col collapsed="false" customWidth="true" hidden="false" outlineLevel="0" max="6" min="6" style="1" width="48"/>
  </cols>
  <sheetData>
    <row r="1" customFormat="false" ht="17.35" hidden="false" customHeight="false" outlineLevel="0" collapsed="false">
      <c r="A1" s="2" t="s">
        <v>138</v>
      </c>
    </row>
    <row r="2" customFormat="false" ht="15" hidden="false" customHeight="false" outlineLevel="0" collapsed="false">
      <c r="A2" s="3" t="s">
        <v>28</v>
      </c>
    </row>
    <row r="4" customFormat="false" ht="26.85" hidden="false" customHeight="false" outlineLevel="0" collapsed="false">
      <c r="A4" s="6" t="s">
        <v>29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96</v>
      </c>
    </row>
    <row r="5" customFormat="false" ht="15" hidden="false" customHeight="false" outlineLevel="0" collapsed="false">
      <c r="A5" s="13" t="s">
        <v>139</v>
      </c>
      <c r="C5" s="14" t="n">
        <v>6.25</v>
      </c>
      <c r="F5" s="3" t="s">
        <v>140</v>
      </c>
    </row>
    <row r="7" customFormat="false" ht="15" hidden="false" customHeight="false" outlineLevel="0" collapsed="false">
      <c r="A7" s="10" t="s">
        <v>141</v>
      </c>
      <c r="B7" s="11"/>
      <c r="C7" s="11"/>
      <c r="D7" s="11"/>
      <c r="E7" s="11"/>
      <c r="F7" s="11"/>
    </row>
    <row r="8" customFormat="false" ht="15" hidden="false" customHeight="false" outlineLevel="0" collapsed="false">
      <c r="A8" s="1" t="s">
        <v>142</v>
      </c>
      <c r="B8" s="1" t="s">
        <v>101</v>
      </c>
      <c r="C8" s="15" t="n">
        <f aca="false">Inventory!C6*Inventory!C10/100/$C$5</f>
        <v>126.8736</v>
      </c>
      <c r="D8" s="15" t="n">
        <f aca="false">Inventory!D6*Inventory!D10/100/$C$5</f>
        <v>5.696</v>
      </c>
      <c r="E8" s="15" t="n">
        <f aca="false">Inventory!E6*Inventory!E10/100/$C$5</f>
        <v>737.52</v>
      </c>
      <c r="F8" s="3" t="s">
        <v>143</v>
      </c>
    </row>
    <row r="9" customFormat="false" ht="15" hidden="false" customHeight="false" outlineLevel="0" collapsed="false">
      <c r="A9" s="1" t="s">
        <v>144</v>
      </c>
      <c r="B9" s="1" t="s">
        <v>101</v>
      </c>
      <c r="C9" s="16" t="n">
        <v>29</v>
      </c>
      <c r="D9" s="16" t="n">
        <v>4.5</v>
      </c>
      <c r="E9" s="16" t="n">
        <v>148.8</v>
      </c>
      <c r="F9" s="3" t="s">
        <v>46</v>
      </c>
    </row>
    <row r="10" customFormat="false" ht="15" hidden="false" customHeight="false" outlineLevel="0" collapsed="false">
      <c r="A10" s="1" t="s">
        <v>145</v>
      </c>
      <c r="B10" s="1" t="s">
        <v>101</v>
      </c>
      <c r="C10" s="16" t="n">
        <v>30.6</v>
      </c>
      <c r="D10" s="16" t="n">
        <v>1.8</v>
      </c>
      <c r="E10" s="16" t="n">
        <v>0</v>
      </c>
      <c r="F10" s="3" t="s">
        <v>46</v>
      </c>
    </row>
    <row r="11" customFormat="false" ht="15" hidden="false" customHeight="false" outlineLevel="0" collapsed="false">
      <c r="A11" s="1" t="s">
        <v>146</v>
      </c>
      <c r="B11" s="1" t="s">
        <v>101</v>
      </c>
      <c r="C11" s="17" t="n">
        <f aca="false">C8-C9-C10</f>
        <v>67.2736</v>
      </c>
      <c r="D11" s="17" t="n">
        <f aca="false">D8-D9-D10</f>
        <v>-0.603999999999999</v>
      </c>
      <c r="E11" s="17" t="n">
        <f aca="false">E8-E9-E10</f>
        <v>588.72</v>
      </c>
      <c r="F11" s="3" t="s">
        <v>147</v>
      </c>
    </row>
    <row r="12" customFormat="false" ht="15" hidden="false" customHeight="false" outlineLevel="0" collapsed="false">
      <c r="A12" s="1" t="s">
        <v>148</v>
      </c>
      <c r="B12" s="1" t="s">
        <v>101</v>
      </c>
      <c r="C12" s="16" t="n">
        <v>67.2</v>
      </c>
      <c r="D12" s="16" t="n">
        <v>-0.5</v>
      </c>
      <c r="E12" s="16" t="n">
        <v>588.7</v>
      </c>
      <c r="F12" s="3" t="s">
        <v>149</v>
      </c>
    </row>
    <row r="13" customFormat="false" ht="15" hidden="false" customHeight="false" outlineLevel="0" collapsed="false">
      <c r="A13" s="1" t="s">
        <v>150</v>
      </c>
      <c r="B13" s="1" t="s">
        <v>110</v>
      </c>
      <c r="C13" s="18" t="n">
        <f aca="false">(C9+C10)/C8</f>
        <v>0.469758878127522</v>
      </c>
      <c r="D13" s="18" t="n">
        <f aca="false">(D9+D10)/D8</f>
        <v>1.1060393258427</v>
      </c>
      <c r="E13" s="18" t="n">
        <f aca="false">(E9+E10)/E8</f>
        <v>0.201757240481614</v>
      </c>
      <c r="F13" s="3" t="s">
        <v>151</v>
      </c>
    </row>
    <row r="14" customFormat="false" ht="15" hidden="false" customHeight="false" outlineLevel="0" collapsed="false">
      <c r="A14" s="1" t="s">
        <v>152</v>
      </c>
      <c r="B14" s="1" t="s">
        <v>101</v>
      </c>
      <c r="C14" s="19" t="n">
        <f aca="false">C11*Inventory!C25</f>
        <v>54.7384865744508</v>
      </c>
      <c r="D14" s="19" t="n">
        <f aca="false">D11*Inventory!D25</f>
        <v>-3.79874213836478</v>
      </c>
      <c r="E14" s="19" t="n">
        <f aca="false">E11*Inventory!E25</f>
        <v>95.9296072999837</v>
      </c>
      <c r="F14" s="3" t="s">
        <v>153</v>
      </c>
    </row>
    <row r="16" customFormat="false" ht="15" hidden="false" customHeight="false" outlineLevel="0" collapsed="false">
      <c r="A16" s="10" t="s">
        <v>154</v>
      </c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" t="s">
        <v>155</v>
      </c>
      <c r="B17" s="1" t="s">
        <v>101</v>
      </c>
      <c r="C17" s="15" t="n">
        <f aca="false">Inventory!C6*Inventory!C14/100</f>
        <v>26.432</v>
      </c>
      <c r="D17" s="15" t="n">
        <f aca="false">Inventory!D6*Inventory!D14/100</f>
        <v>1.157</v>
      </c>
      <c r="E17" s="15" t="n">
        <f aca="false">Inventory!E6*Inventory!E14/100</f>
        <v>153.65</v>
      </c>
      <c r="F17" s="3" t="s">
        <v>143</v>
      </c>
    </row>
    <row r="18" customFormat="false" ht="15" hidden="false" customHeight="false" outlineLevel="0" collapsed="false">
      <c r="A18" s="1" t="s">
        <v>156</v>
      </c>
      <c r="B18" s="1" t="s">
        <v>101</v>
      </c>
      <c r="C18" s="16" t="n">
        <v>5.9</v>
      </c>
      <c r="D18" s="16" t="n">
        <v>1</v>
      </c>
      <c r="E18" s="16" t="n">
        <v>25</v>
      </c>
      <c r="F18" s="3" t="s">
        <v>46</v>
      </c>
    </row>
    <row r="19" customFormat="false" ht="15" hidden="false" customHeight="false" outlineLevel="0" collapsed="false">
      <c r="A19" s="1" t="s">
        <v>157</v>
      </c>
      <c r="B19" s="1" t="s">
        <v>101</v>
      </c>
      <c r="C19" s="16" t="n">
        <v>2.6</v>
      </c>
      <c r="D19" s="16" t="n">
        <v>0.1</v>
      </c>
      <c r="E19" s="16" t="n">
        <v>0</v>
      </c>
      <c r="F19" s="3" t="s">
        <v>46</v>
      </c>
    </row>
    <row r="20" customFormat="false" ht="15" hidden="false" customHeight="false" outlineLevel="0" collapsed="false">
      <c r="A20" s="1" t="s">
        <v>158</v>
      </c>
      <c r="B20" s="1" t="s">
        <v>101</v>
      </c>
      <c r="C20" s="17" t="n">
        <f aca="false">C17-C18-C19</f>
        <v>17.932</v>
      </c>
      <c r="D20" s="17" t="n">
        <f aca="false">D17-D18-D19</f>
        <v>0.057</v>
      </c>
      <c r="E20" s="17" t="n">
        <f aca="false">E17-E18-E19</f>
        <v>128.65</v>
      </c>
      <c r="F20" s="3" t="s">
        <v>147</v>
      </c>
    </row>
    <row r="21" customFormat="false" ht="15" hidden="false" customHeight="false" outlineLevel="0" collapsed="false">
      <c r="A21" s="1" t="s">
        <v>159</v>
      </c>
      <c r="B21" s="1" t="s">
        <v>101</v>
      </c>
      <c r="C21" s="16" t="n">
        <v>18</v>
      </c>
      <c r="D21" s="16" t="n">
        <v>0</v>
      </c>
      <c r="E21" s="16" t="n">
        <v>128.7</v>
      </c>
      <c r="F21" s="3" t="s">
        <v>149</v>
      </c>
    </row>
    <row r="22" customFormat="false" ht="15" hidden="false" customHeight="false" outlineLevel="0" collapsed="false">
      <c r="A22" s="1" t="s">
        <v>160</v>
      </c>
      <c r="B22" s="1" t="s">
        <v>110</v>
      </c>
      <c r="C22" s="18" t="n">
        <f aca="false">(C18+C19)/C17</f>
        <v>0.3215799031477</v>
      </c>
      <c r="D22" s="18" t="n">
        <f aca="false">(D18+D19)/D17</f>
        <v>0.950734658599827</v>
      </c>
      <c r="E22" s="18" t="n">
        <f aca="false">(E18+E19)/E17</f>
        <v>0.162707452001302</v>
      </c>
      <c r="F22" s="3" t="s">
        <v>151</v>
      </c>
    </row>
    <row r="23" customFormat="false" ht="15" hidden="false" customHeight="false" outlineLevel="0" collapsed="false">
      <c r="A23" s="1" t="s">
        <v>161</v>
      </c>
      <c r="B23" s="1" t="s">
        <v>101</v>
      </c>
      <c r="C23" s="19" t="n">
        <f aca="false">C20*Inventory!C25</f>
        <v>14.5907241659886</v>
      </c>
      <c r="D23" s="19" t="n">
        <f aca="false">D20*Inventory!D25</f>
        <v>0.358490566037736</v>
      </c>
      <c r="E23" s="19" t="n">
        <f aca="false">E20*Inventory!E25</f>
        <v>20.9630112432785</v>
      </c>
      <c r="F23" s="3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5" min="2" style="1" width="22"/>
    <col collapsed="false" customWidth="true" hidden="false" outlineLevel="0" max="6" min="6" style="1" width="8"/>
    <col collapsed="false" customWidth="true" hidden="false" outlineLevel="0" max="7" min="7" style="1" width="40"/>
  </cols>
  <sheetData>
    <row r="1" customFormat="false" ht="17.35" hidden="false" customHeight="false" outlineLevel="0" collapsed="false">
      <c r="A1" s="2" t="s">
        <v>162</v>
      </c>
    </row>
    <row r="2" customFormat="false" ht="15" hidden="false" customHeight="false" outlineLevel="0" collapsed="false">
      <c r="A2" s="3" t="s">
        <v>28</v>
      </c>
    </row>
    <row r="4" customFormat="false" ht="26.85" hidden="false" customHeight="false" outlineLevel="0" collapsed="false">
      <c r="A4" s="6" t="s">
        <v>163</v>
      </c>
      <c r="B4" s="6" t="s">
        <v>164</v>
      </c>
      <c r="C4" s="6" t="s">
        <v>93</v>
      </c>
      <c r="D4" s="6" t="s">
        <v>94</v>
      </c>
      <c r="E4" s="6" t="s">
        <v>95</v>
      </c>
      <c r="F4" s="6" t="s">
        <v>92</v>
      </c>
      <c r="G4" s="6" t="s">
        <v>165</v>
      </c>
    </row>
    <row r="5" customFormat="false" ht="15" hidden="false" customHeight="false" outlineLevel="0" collapsed="false">
      <c r="A5" s="5" t="s">
        <v>166</v>
      </c>
      <c r="B5" s="5" t="s">
        <v>167</v>
      </c>
      <c r="C5" s="17" t="n">
        <f aca="false">1</f>
        <v>1</v>
      </c>
      <c r="D5" s="17" t="n">
        <f aca="false">1</f>
        <v>1</v>
      </c>
      <c r="E5" s="17" t="n">
        <f aca="false">1</f>
        <v>1</v>
      </c>
      <c r="F5" s="5" t="s">
        <v>168</v>
      </c>
      <c r="G5" s="3" t="s">
        <v>169</v>
      </c>
    </row>
    <row r="6" customFormat="false" ht="15" hidden="false" customHeight="false" outlineLevel="0" collapsed="false">
      <c r="A6" s="5" t="s">
        <v>170</v>
      </c>
      <c r="B6" s="5" t="s">
        <v>171</v>
      </c>
      <c r="C6" s="17" t="n">
        <f aca="false">Inventory!C18*Inventory!C25</f>
        <v>894.222945484133</v>
      </c>
      <c r="D6" s="17" t="n">
        <f aca="false">Inventory!D18*Inventory!D25</f>
        <v>408.805031446541</v>
      </c>
      <c r="E6" s="17" t="n">
        <f aca="false">Inventory!E18*Inventory!E25</f>
        <v>1000</v>
      </c>
      <c r="F6" s="5" t="s">
        <v>101</v>
      </c>
      <c r="G6" s="3"/>
    </row>
    <row r="7" customFormat="false" ht="15" hidden="false" customHeight="false" outlineLevel="0" collapsed="false">
      <c r="A7" s="5" t="s">
        <v>172</v>
      </c>
      <c r="B7" s="5" t="s">
        <v>171</v>
      </c>
      <c r="C7" s="17" t="n">
        <f aca="false">Inventory!C19*Inventory!C25</f>
        <v>105.777054515867</v>
      </c>
      <c r="D7" s="17" t="n">
        <f aca="false">Inventory!D19*Inventory!D25</f>
        <v>591.194968553459</v>
      </c>
      <c r="E7" s="17" t="n">
        <f aca="false">Inventory!E19*Inventory!E25</f>
        <v>0</v>
      </c>
      <c r="F7" s="5" t="s">
        <v>101</v>
      </c>
      <c r="G7" s="3"/>
    </row>
    <row r="8" customFormat="false" ht="15" hidden="false" customHeight="false" outlineLevel="0" collapsed="false">
      <c r="A8" s="5" t="s">
        <v>173</v>
      </c>
      <c r="B8" s="5" t="s">
        <v>174</v>
      </c>
      <c r="C8" s="17" t="n">
        <f aca="false">Inventory!C20*Inventory!C25</f>
        <v>995.93165174939</v>
      </c>
      <c r="D8" s="17" t="n">
        <f aca="false">Inventory!D20*Inventory!D25</f>
        <v>222641.509433962</v>
      </c>
      <c r="E8" s="17" t="n">
        <f aca="false">Inventory!E20*Inventory!E25</f>
        <v>0</v>
      </c>
      <c r="F8" s="5" t="s">
        <v>101</v>
      </c>
      <c r="G8" s="3" t="s">
        <v>175</v>
      </c>
    </row>
    <row r="9" customFormat="false" ht="15" hidden="false" customHeight="false" outlineLevel="0" collapsed="false">
      <c r="A9" s="5" t="s">
        <v>176</v>
      </c>
      <c r="B9" s="5" t="s">
        <v>177</v>
      </c>
      <c r="C9" s="17" t="n">
        <f aca="false">Inventory!C6*Inventory!C25</f>
        <v>1536.20829943043</v>
      </c>
      <c r="D9" s="17" t="n">
        <f aca="false">Inventory!D6*Inventory!D25</f>
        <v>559.748427672956</v>
      </c>
      <c r="E9" s="17" t="n">
        <f aca="false">Inventory!E6*Inventory!E25</f>
        <v>1788.33306175656</v>
      </c>
      <c r="F9" s="5" t="s">
        <v>101</v>
      </c>
      <c r="G9" s="3" t="s">
        <v>178</v>
      </c>
    </row>
    <row r="10" customFormat="false" ht="15" hidden="false" customHeight="false" outlineLevel="0" collapsed="false">
      <c r="A10" s="5" t="s">
        <v>179</v>
      </c>
      <c r="B10" s="5" t="s">
        <v>177</v>
      </c>
      <c r="C10" s="17" t="n">
        <f aca="false">Inventory!C8*Inventory!C25</f>
        <v>550.854353132628</v>
      </c>
      <c r="D10" s="17" t="n">
        <f aca="false">Inventory!D8*Inventory!D25</f>
        <v>283.018867924528</v>
      </c>
      <c r="E10" s="17" t="n">
        <f aca="false">Inventory!E8*Inventory!E25</f>
        <v>14.8280919015806</v>
      </c>
      <c r="F10" s="5" t="s">
        <v>101</v>
      </c>
      <c r="G10" s="3" t="s">
        <v>180</v>
      </c>
    </row>
    <row r="11" customFormat="false" ht="15" hidden="false" customHeight="false" outlineLevel="0" collapsed="false">
      <c r="A11" s="5" t="s">
        <v>181</v>
      </c>
      <c r="B11" s="5" t="s">
        <v>177</v>
      </c>
      <c r="C11" s="17" t="n">
        <f aca="false">Inventory!C9*Inventory!C25</f>
        <v>4.47518307567128</v>
      </c>
      <c r="D11" s="17" t="n">
        <f aca="false">Inventory!D9*Inventory!D25</f>
        <v>90.5660377358491</v>
      </c>
      <c r="E11" s="17" t="n">
        <f aca="false">Inventory!E9*Inventory!E25</f>
        <v>0</v>
      </c>
      <c r="F11" s="5" t="s">
        <v>101</v>
      </c>
      <c r="G11" s="3"/>
    </row>
    <row r="12" customFormat="false" ht="15" hidden="false" customHeight="false" outlineLevel="0" collapsed="false">
      <c r="A12" s="5" t="s">
        <v>182</v>
      </c>
      <c r="B12" s="5" t="s">
        <v>183</v>
      </c>
      <c r="C12" s="17" t="n">
        <f aca="false">Inventory!C7*Inventory!C25</f>
        <v>82270.1383238405</v>
      </c>
      <c r="D12" s="17" t="n">
        <f aca="false">Inventory!D7*Inventory!D25</f>
        <v>45188.679245283</v>
      </c>
      <c r="E12" s="17" t="n">
        <f aca="false">Inventory!E7*Inventory!E25</f>
        <v>195822.71468144</v>
      </c>
      <c r="F12" s="5" t="s">
        <v>103</v>
      </c>
      <c r="G12" s="3" t="s">
        <v>184</v>
      </c>
    </row>
    <row r="13" customFormat="false" ht="15" hidden="false" customHeight="false" outlineLevel="0" collapsed="false">
      <c r="A13" s="5" t="s">
        <v>185</v>
      </c>
      <c r="B13" s="5" t="s">
        <v>183</v>
      </c>
      <c r="C13" s="17" t="n">
        <f aca="false">Inventory!C28*Inventory!C25</f>
        <v>959.337204010426</v>
      </c>
      <c r="D13" s="17" t="n">
        <f aca="false">Inventory!D28*Inventory!D25</f>
        <v>4221.5998427673</v>
      </c>
      <c r="E13" s="17" t="n">
        <f aca="false">Inventory!E28*Inventory!E25</f>
        <v>2288.83985163623</v>
      </c>
      <c r="F13" s="5" t="s">
        <v>136</v>
      </c>
      <c r="G13" s="3" t="s">
        <v>186</v>
      </c>
    </row>
    <row r="14" customFormat="false" ht="15" hidden="false" customHeight="false" outlineLevel="0" collapsed="false">
      <c r="A14" s="5" t="s">
        <v>187</v>
      </c>
      <c r="B14" s="5" t="s">
        <v>188</v>
      </c>
      <c r="C14" s="17" t="n">
        <f aca="false">'Nutrient balance'!C14</f>
        <v>54.7384865744508</v>
      </c>
      <c r="D14" s="17" t="n">
        <f aca="false">'Nutrient balance'!D14</f>
        <v>-3.79874213836478</v>
      </c>
      <c r="E14" s="17" t="n">
        <f aca="false">'Nutrient balance'!E14</f>
        <v>95.9296072999837</v>
      </c>
      <c r="F14" s="5" t="s">
        <v>189</v>
      </c>
      <c r="G14" s="3" t="s">
        <v>190</v>
      </c>
    </row>
    <row r="15" customFormat="false" ht="15" hidden="false" customHeight="false" outlineLevel="0" collapsed="false">
      <c r="A15" s="5" t="s">
        <v>191</v>
      </c>
      <c r="B15" s="5" t="s">
        <v>188</v>
      </c>
      <c r="C15" s="17" t="n">
        <f aca="false">'Nutrient balance'!C23</f>
        <v>14.5907241659886</v>
      </c>
      <c r="D15" s="17" t="n">
        <f aca="false">'Nutrient balance'!D23</f>
        <v>0.358490566037736</v>
      </c>
      <c r="E15" s="17" t="n">
        <f aca="false">'Nutrient balance'!E23</f>
        <v>20.9630112432785</v>
      </c>
      <c r="F15" s="5" t="s">
        <v>192</v>
      </c>
      <c r="G15" s="3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"/>
    <col collapsed="false" customWidth="true" hidden="false" outlineLevel="0" max="5" min="3" style="1" width="18"/>
    <col collapsed="false" customWidth="true" hidden="false" outlineLevel="0" max="6" min="6" style="1" width="2"/>
    <col collapsed="false" customWidth="true" hidden="false" outlineLevel="0" max="9" min="7" style="1" width="13"/>
  </cols>
  <sheetData>
    <row r="1" customFormat="false" ht="17.35" hidden="false" customHeight="false" outlineLevel="0" collapsed="false">
      <c r="A1" s="2" t="s">
        <v>193</v>
      </c>
    </row>
    <row r="2" customFormat="false" ht="15" hidden="false" customHeight="false" outlineLevel="0" collapsed="false">
      <c r="A2" s="3" t="s">
        <v>28</v>
      </c>
    </row>
    <row r="3" customFormat="false" ht="15" hidden="false" customHeight="false" outlineLevel="0" collapsed="false">
      <c r="A3" s="3" t="s">
        <v>194</v>
      </c>
    </row>
    <row r="4" customFormat="false" ht="26.85" hidden="false" customHeight="false" outlineLevel="0" collapsed="false">
      <c r="A4" s="6" t="s">
        <v>195</v>
      </c>
      <c r="B4" s="6" t="s">
        <v>92</v>
      </c>
      <c r="C4" s="6" t="s">
        <v>93</v>
      </c>
      <c r="D4" s="6" t="s">
        <v>94</v>
      </c>
      <c r="E4" s="6" t="s">
        <v>95</v>
      </c>
      <c r="F4" s="6"/>
      <c r="G4" s="6" t="s">
        <v>196</v>
      </c>
      <c r="H4" s="6" t="s">
        <v>197</v>
      </c>
      <c r="I4" s="6" t="s">
        <v>198</v>
      </c>
    </row>
    <row r="5" customFormat="false" ht="15" hidden="false" customHeight="false" outlineLevel="0" collapsed="false">
      <c r="A5" s="10" t="s">
        <v>199</v>
      </c>
      <c r="B5" s="11"/>
      <c r="C5" s="11"/>
      <c r="D5" s="11"/>
      <c r="E5" s="11"/>
      <c r="F5" s="11"/>
      <c r="G5" s="11"/>
      <c r="H5" s="11"/>
      <c r="I5" s="11"/>
    </row>
    <row r="6" customFormat="false" ht="15" hidden="false" customHeight="false" outlineLevel="0" collapsed="false">
      <c r="A6" s="5" t="s">
        <v>200</v>
      </c>
      <c r="B6" s="5" t="s">
        <v>201</v>
      </c>
      <c r="C6" s="20" t="n">
        <v>137</v>
      </c>
      <c r="D6" s="20" t="n">
        <v>12</v>
      </c>
      <c r="E6" s="20" t="n">
        <v>13</v>
      </c>
      <c r="G6" s="21" t="n">
        <f aca="false">IF(C$18=0,0,C6/C$18)</f>
        <v>0.0489111031774366</v>
      </c>
      <c r="H6" s="21" t="n">
        <f aca="false">IF(D$18=0,0,D6/D$18)</f>
        <v>0.00956175298804781</v>
      </c>
      <c r="I6" s="21" t="n">
        <f aca="false">IF(E$18=0,0,E6/E$18)</f>
        <v>0.00458392101551481</v>
      </c>
    </row>
    <row r="7" customFormat="false" ht="15" hidden="false" customHeight="false" outlineLevel="0" collapsed="false">
      <c r="A7" s="5" t="s">
        <v>202</v>
      </c>
      <c r="B7" s="5" t="s">
        <v>201</v>
      </c>
      <c r="C7" s="20" t="n">
        <v>330</v>
      </c>
      <c r="D7" s="20" t="n">
        <v>6</v>
      </c>
      <c r="E7" s="20" t="n">
        <v>474</v>
      </c>
      <c r="G7" s="21" t="n">
        <f aca="false">IF(C$18=0,0,C7/C$18)</f>
        <v>0.11781506604784</v>
      </c>
      <c r="H7" s="21" t="n">
        <f aca="false">IF(D$18=0,0,D7/D$18)</f>
        <v>0.0047808764940239</v>
      </c>
      <c r="I7" s="21" t="n">
        <f aca="false">IF(E$18=0,0,E7/E$18)</f>
        <v>0.167136812411848</v>
      </c>
    </row>
    <row r="8" customFormat="false" ht="15" hidden="false" customHeight="false" outlineLevel="0" collapsed="false">
      <c r="A8" s="5" t="s">
        <v>203</v>
      </c>
      <c r="B8" s="5" t="s">
        <v>201</v>
      </c>
      <c r="C8" s="20" t="n">
        <v>0</v>
      </c>
      <c r="D8" s="20" t="n">
        <v>0</v>
      </c>
      <c r="E8" s="20" t="n">
        <v>0</v>
      </c>
      <c r="G8" s="21" t="n">
        <f aca="false">IF(C$18=0,0,C8/C$18)</f>
        <v>0</v>
      </c>
      <c r="H8" s="21" t="n">
        <f aca="false">IF(D$18=0,0,D8/D$18)</f>
        <v>0</v>
      </c>
      <c r="I8" s="21" t="n">
        <f aca="false">IF(E$18=0,0,E8/E$18)</f>
        <v>0</v>
      </c>
    </row>
    <row r="9" customFormat="false" ht="15" hidden="false" customHeight="false" outlineLevel="0" collapsed="false">
      <c r="A9" s="5" t="s">
        <v>204</v>
      </c>
      <c r="B9" s="5" t="s">
        <v>201</v>
      </c>
      <c r="C9" s="20" t="n">
        <v>32</v>
      </c>
      <c r="D9" s="20" t="n">
        <v>8</v>
      </c>
      <c r="E9" s="20" t="n">
        <v>80</v>
      </c>
      <c r="G9" s="21" t="n">
        <f aca="false">IF(C$18=0,0,C9/C$18)</f>
        <v>0.0114244912531239</v>
      </c>
      <c r="H9" s="21" t="n">
        <f aca="false">IF(D$18=0,0,D9/D$18)</f>
        <v>0.00637450199203187</v>
      </c>
      <c r="I9" s="21" t="n">
        <f aca="false">IF(E$18=0,0,E9/E$18)</f>
        <v>0.0282087447108604</v>
      </c>
    </row>
    <row r="10" customFormat="false" ht="15" hidden="false" customHeight="false" outlineLevel="0" collapsed="false">
      <c r="A10" s="5" t="s">
        <v>205</v>
      </c>
      <c r="B10" s="5" t="s">
        <v>201</v>
      </c>
      <c r="C10" s="20" t="n">
        <v>0</v>
      </c>
      <c r="D10" s="20" t="n">
        <v>0</v>
      </c>
      <c r="E10" s="20" t="n">
        <v>0</v>
      </c>
      <c r="G10" s="21" t="n">
        <f aca="false">IF(C$18=0,0,C10/C$18)</f>
        <v>0</v>
      </c>
      <c r="H10" s="21" t="n">
        <f aca="false">IF(D$18=0,0,D10/D$18)</f>
        <v>0</v>
      </c>
      <c r="I10" s="21" t="n">
        <f aca="false">IF(E$18=0,0,E10/E$18)</f>
        <v>0</v>
      </c>
    </row>
    <row r="11" customFormat="false" ht="15" hidden="false" customHeight="false" outlineLevel="0" collapsed="false">
      <c r="A11" s="5" t="s">
        <v>206</v>
      </c>
      <c r="B11" s="5" t="s">
        <v>201</v>
      </c>
      <c r="C11" s="20" t="n">
        <v>0</v>
      </c>
      <c r="D11" s="20" t="n">
        <v>30</v>
      </c>
      <c r="E11" s="20" t="n">
        <v>0</v>
      </c>
      <c r="G11" s="21" t="n">
        <f aca="false">IF(C$18=0,0,C11/C$18)</f>
        <v>0</v>
      </c>
      <c r="H11" s="21" t="n">
        <f aca="false">IF(D$18=0,0,D11/D$18)</f>
        <v>0.0239043824701195</v>
      </c>
      <c r="I11" s="21" t="n">
        <f aca="false">IF(E$18=0,0,E11/E$18)</f>
        <v>0</v>
      </c>
    </row>
    <row r="12" customFormat="false" ht="15" hidden="false" customHeight="false" outlineLevel="0" collapsed="false">
      <c r="A12" s="5" t="s">
        <v>207</v>
      </c>
      <c r="B12" s="5" t="s">
        <v>201</v>
      </c>
      <c r="C12" s="20" t="n">
        <v>386</v>
      </c>
      <c r="D12" s="20" t="n">
        <v>228</v>
      </c>
      <c r="E12" s="20" t="n">
        <v>15</v>
      </c>
      <c r="G12" s="21" t="n">
        <f aca="false">IF(C$18=0,0,C12/C$18)</f>
        <v>0.137807925740807</v>
      </c>
      <c r="H12" s="21" t="n">
        <f aca="false">IF(D$18=0,0,D12/D$18)</f>
        <v>0.181673306772908</v>
      </c>
      <c r="I12" s="21" t="n">
        <f aca="false">IF(E$18=0,0,E12/E$18)</f>
        <v>0.00528913963328632</v>
      </c>
    </row>
    <row r="13" customFormat="false" ht="15" hidden="false" customHeight="false" outlineLevel="0" collapsed="false">
      <c r="A13" s="5" t="s">
        <v>208</v>
      </c>
      <c r="B13" s="5" t="s">
        <v>201</v>
      </c>
      <c r="C13" s="20" t="n">
        <v>43</v>
      </c>
      <c r="D13" s="20" t="n">
        <v>29</v>
      </c>
      <c r="E13" s="20" t="n">
        <v>1</v>
      </c>
      <c r="G13" s="21" t="n">
        <f aca="false">IF(C$18=0,0,C13/C$18)</f>
        <v>0.0153516601213852</v>
      </c>
      <c r="H13" s="21" t="n">
        <f aca="false">IF(D$18=0,0,D13/D$18)</f>
        <v>0.0231075697211155</v>
      </c>
      <c r="I13" s="21" t="n">
        <f aca="false">IF(E$18=0,0,E13/E$18)</f>
        <v>0.000352609308885755</v>
      </c>
    </row>
    <row r="14" customFormat="false" ht="15" hidden="false" customHeight="false" outlineLevel="0" collapsed="false">
      <c r="A14" s="5" t="s">
        <v>209</v>
      </c>
      <c r="B14" s="5" t="s">
        <v>201</v>
      </c>
      <c r="C14" s="20" t="n">
        <v>1549</v>
      </c>
      <c r="D14" s="20" t="n">
        <v>733</v>
      </c>
      <c r="E14" s="20" t="n">
        <v>1873</v>
      </c>
      <c r="G14" s="21" t="n">
        <f aca="false">IF(C$18=0,0,C14/C$18)</f>
        <v>0.553016779721528</v>
      </c>
      <c r="H14" s="21" t="n">
        <f aca="false">IF(D$18=0,0,D14/D$18)</f>
        <v>0.58406374501992</v>
      </c>
      <c r="I14" s="21" t="n">
        <f aca="false">IF(E$18=0,0,E14/E$18)</f>
        <v>0.660437235543018</v>
      </c>
    </row>
    <row r="15" customFormat="false" ht="15" hidden="false" customHeight="false" outlineLevel="0" collapsed="false">
      <c r="A15" s="5" t="s">
        <v>210</v>
      </c>
      <c r="B15" s="5" t="s">
        <v>201</v>
      </c>
      <c r="C15" s="20" t="n">
        <v>325</v>
      </c>
      <c r="D15" s="20" t="n">
        <v>208</v>
      </c>
      <c r="E15" s="20" t="n">
        <v>379</v>
      </c>
      <c r="G15" s="21" t="n">
        <f aca="false">IF(C$18=0,0,C15/C$18)</f>
        <v>0.116029989289539</v>
      </c>
      <c r="H15" s="21" t="n">
        <f aca="false">IF(D$18=0,0,D15/D$18)</f>
        <v>0.165737051792829</v>
      </c>
      <c r="I15" s="21" t="n">
        <f aca="false">IF(E$18=0,0,E15/E$18)</f>
        <v>0.133638928067701</v>
      </c>
    </row>
    <row r="16" customFormat="false" ht="15" hidden="false" customHeight="false" outlineLevel="0" collapsed="false">
      <c r="A16" s="5" t="s">
        <v>211</v>
      </c>
      <c r="B16" s="5" t="s">
        <v>201</v>
      </c>
      <c r="C16" s="20" t="n">
        <v>0</v>
      </c>
      <c r="D16" s="20" t="n">
        <v>0</v>
      </c>
      <c r="E16" s="20" t="n">
        <v>0</v>
      </c>
      <c r="G16" s="21" t="n">
        <f aca="false">IF(C$18=0,0,C16/C$18)</f>
        <v>0</v>
      </c>
      <c r="H16" s="21" t="n">
        <f aca="false">IF(D$18=0,0,D16/D$18)</f>
        <v>0</v>
      </c>
      <c r="I16" s="21" t="n">
        <f aca="false">IF(E$18=0,0,E16/E$18)</f>
        <v>0</v>
      </c>
    </row>
    <row r="17" customFormat="false" ht="15" hidden="false" customHeight="false" outlineLevel="0" collapsed="false">
      <c r="A17" s="3" t="s">
        <v>212</v>
      </c>
      <c r="C17" s="22" t="n">
        <f aca="false">SUM(C6:C16)</f>
        <v>2802</v>
      </c>
      <c r="D17" s="22" t="n">
        <f aca="false">SUM(D6:D16)</f>
        <v>1254</v>
      </c>
      <c r="E17" s="22" t="n">
        <f aca="false">SUM(E6:E16)</f>
        <v>2835</v>
      </c>
    </row>
    <row r="18" customFormat="false" ht="15" hidden="false" customHeight="false" outlineLevel="0" collapsed="false">
      <c r="A18" s="4" t="s">
        <v>213</v>
      </c>
      <c r="B18" s="5" t="s">
        <v>201</v>
      </c>
      <c r="C18" s="20" t="n">
        <v>2801</v>
      </c>
      <c r="D18" s="20" t="n">
        <v>1255</v>
      </c>
      <c r="E18" s="20" t="n">
        <v>2836</v>
      </c>
    </row>
    <row r="20" customFormat="false" ht="15" hidden="false" customHeight="false" outlineLevel="0" collapsed="false">
      <c r="A20" s="10" t="s">
        <v>214</v>
      </c>
      <c r="B20" s="11"/>
      <c r="C20" s="11"/>
      <c r="D20" s="11"/>
      <c r="E20" s="11"/>
      <c r="F20" s="11"/>
      <c r="G20" s="11"/>
      <c r="H20" s="11"/>
      <c r="I20" s="11"/>
    </row>
    <row r="21" customFormat="false" ht="15" hidden="false" customHeight="false" outlineLevel="0" collapsed="false">
      <c r="A21" s="5" t="s">
        <v>200</v>
      </c>
      <c r="B21" s="5" t="s">
        <v>215</v>
      </c>
      <c r="C21" s="20" t="n">
        <v>2701</v>
      </c>
      <c r="D21" s="20" t="n">
        <v>240</v>
      </c>
      <c r="E21" s="20" t="n">
        <v>263</v>
      </c>
      <c r="G21" s="21" t="n">
        <f aca="false">IF(C$33=0,0,C21/C$33)</f>
        <v>0.0299688217737193</v>
      </c>
      <c r="H21" s="21" t="n">
        <f aca="false">IF(D$33=0,0,D21/D$33)</f>
        <v>0.0125674189663298</v>
      </c>
      <c r="I21" s="21" t="n">
        <f aca="false">IF(E$33=0,0,E21/E$33)</f>
        <v>0.00263271169304384</v>
      </c>
    </row>
    <row r="22" customFormat="false" ht="15" hidden="false" customHeight="false" outlineLevel="0" collapsed="false">
      <c r="A22" s="5" t="s">
        <v>202</v>
      </c>
      <c r="B22" s="5" t="s">
        <v>215</v>
      </c>
      <c r="C22" s="20" t="n">
        <v>45724</v>
      </c>
      <c r="D22" s="20" t="n">
        <v>82</v>
      </c>
      <c r="E22" s="20" t="n">
        <v>65724</v>
      </c>
      <c r="G22" s="21" t="n">
        <f aca="false">IF(C$33=0,0,C22/C$33)</f>
        <v>0.507328547494092</v>
      </c>
      <c r="H22" s="21" t="n">
        <f aca="false">IF(D$33=0,0,D22/D$33)</f>
        <v>0.00429386814682935</v>
      </c>
      <c r="I22" s="21" t="n">
        <f aca="false">IF(E$33=0,0,E22/E$33)</f>
        <v>0.65791765518484</v>
      </c>
    </row>
    <row r="23" customFormat="false" ht="15" hidden="false" customHeight="false" outlineLevel="0" collapsed="false">
      <c r="A23" s="5" t="s">
        <v>203</v>
      </c>
      <c r="B23" s="5" t="s">
        <v>215</v>
      </c>
      <c r="C23" s="20" t="n">
        <v>0</v>
      </c>
      <c r="D23" s="20" t="n">
        <v>0</v>
      </c>
      <c r="E23" s="20" t="n">
        <v>0</v>
      </c>
      <c r="G23" s="21" t="n">
        <f aca="false">IF(C$33=0,0,C23/C$33)</f>
        <v>0</v>
      </c>
      <c r="H23" s="21" t="n">
        <f aca="false">IF(D$33=0,0,D23/D$33)</f>
        <v>0</v>
      </c>
      <c r="I23" s="21" t="n">
        <f aca="false">IF(E$33=0,0,E23/E$33)</f>
        <v>0</v>
      </c>
    </row>
    <row r="24" customFormat="false" ht="15" hidden="false" customHeight="false" outlineLevel="0" collapsed="false">
      <c r="A24" s="5" t="s">
        <v>204</v>
      </c>
      <c r="B24" s="5" t="s">
        <v>215</v>
      </c>
      <c r="C24" s="20" t="n">
        <v>700</v>
      </c>
      <c r="D24" s="20" t="n">
        <v>150</v>
      </c>
      <c r="E24" s="20" t="n">
        <v>1749</v>
      </c>
      <c r="G24" s="21" t="n">
        <f aca="false">IF(C$33=0,0,C24/C$33)</f>
        <v>0.00776681793469216</v>
      </c>
      <c r="H24" s="21" t="n">
        <f aca="false">IF(D$33=0,0,D24/D$33)</f>
        <v>0.00785463685395612</v>
      </c>
      <c r="I24" s="21" t="n">
        <f aca="false">IF(E$33=0,0,E24/E$33)</f>
        <v>0.0175080332742725</v>
      </c>
    </row>
    <row r="25" customFormat="false" ht="15" hidden="false" customHeight="false" outlineLevel="0" collapsed="false">
      <c r="A25" s="5" t="s">
        <v>205</v>
      </c>
      <c r="B25" s="5" t="s">
        <v>215</v>
      </c>
      <c r="C25" s="20" t="n">
        <v>0</v>
      </c>
      <c r="D25" s="20" t="n">
        <v>0</v>
      </c>
      <c r="E25" s="20" t="n">
        <v>0</v>
      </c>
      <c r="G25" s="21" t="n">
        <f aca="false">IF(C$33=0,0,C25/C$33)</f>
        <v>0</v>
      </c>
      <c r="H25" s="21" t="n">
        <f aca="false">IF(D$33=0,0,D25/D$33)</f>
        <v>0</v>
      </c>
      <c r="I25" s="21" t="n">
        <f aca="false">IF(E$33=0,0,E25/E$33)</f>
        <v>0</v>
      </c>
    </row>
    <row r="26" customFormat="false" ht="15" hidden="false" customHeight="false" outlineLevel="0" collapsed="false">
      <c r="A26" s="5" t="s">
        <v>206</v>
      </c>
      <c r="B26" s="5" t="s">
        <v>215</v>
      </c>
      <c r="C26" s="20" t="n">
        <v>0</v>
      </c>
      <c r="D26" s="20" t="n">
        <v>664</v>
      </c>
      <c r="E26" s="20" t="n">
        <v>0</v>
      </c>
      <c r="G26" s="21" t="n">
        <f aca="false">IF(C$33=0,0,C26/C$33)</f>
        <v>0</v>
      </c>
      <c r="H26" s="21" t="n">
        <f aca="false">IF(D$33=0,0,D26/D$33)</f>
        <v>0.0347698591401791</v>
      </c>
      <c r="I26" s="21" t="n">
        <f aca="false">IF(E$33=0,0,E26/E$33)</f>
        <v>0</v>
      </c>
    </row>
    <row r="27" customFormat="false" ht="15" hidden="false" customHeight="false" outlineLevel="0" collapsed="false">
      <c r="A27" s="5" t="s">
        <v>207</v>
      </c>
      <c r="B27" s="5" t="s">
        <v>215</v>
      </c>
      <c r="C27" s="20" t="n">
        <v>14023</v>
      </c>
      <c r="D27" s="20" t="n">
        <v>6248</v>
      </c>
      <c r="E27" s="20" t="n">
        <v>555</v>
      </c>
      <c r="G27" s="21" t="n">
        <f aca="false">IF(C$33=0,0,C27/C$33)</f>
        <v>0.155591554140269</v>
      </c>
      <c r="H27" s="21" t="n">
        <f aca="false">IF(D$33=0,0,D27/D$33)</f>
        <v>0.327171807090119</v>
      </c>
      <c r="I27" s="21" t="n">
        <f aca="false">IF(E$33=0,0,E27/E$33)</f>
        <v>0.00555572239406589</v>
      </c>
    </row>
    <row r="28" customFormat="false" ht="15" hidden="false" customHeight="false" outlineLevel="0" collapsed="false">
      <c r="A28" s="5" t="s">
        <v>208</v>
      </c>
      <c r="B28" s="5" t="s">
        <v>215</v>
      </c>
      <c r="C28" s="20" t="n">
        <v>469</v>
      </c>
      <c r="D28" s="20" t="n">
        <v>316</v>
      </c>
      <c r="E28" s="20" t="n">
        <v>12</v>
      </c>
      <c r="G28" s="21" t="n">
        <f aca="false">IF(C$33=0,0,C28/C$33)</f>
        <v>0.00520376801624375</v>
      </c>
      <c r="H28" s="21" t="n">
        <f aca="false">IF(D$33=0,0,D28/D$33)</f>
        <v>0.0165471016390009</v>
      </c>
      <c r="I28" s="21" t="n">
        <f aca="false">IF(E$33=0,0,E28/E$33)</f>
        <v>0.000120123727439262</v>
      </c>
    </row>
    <row r="29" customFormat="false" ht="15" hidden="false" customHeight="false" outlineLevel="0" collapsed="false">
      <c r="A29" s="5" t="s">
        <v>209</v>
      </c>
      <c r="B29" s="5" t="s">
        <v>215</v>
      </c>
      <c r="C29" s="20" t="n">
        <v>21028</v>
      </c>
      <c r="D29" s="20" t="n">
        <v>7900</v>
      </c>
      <c r="E29" s="20" t="n">
        <v>25185</v>
      </c>
      <c r="G29" s="21" t="n">
        <f aca="false">IF(C$33=0,0,C29/C$33)</f>
        <v>0.233315210758152</v>
      </c>
      <c r="H29" s="21" t="n">
        <f aca="false">IF(D$33=0,0,D29/D$33)</f>
        <v>0.413677540975022</v>
      </c>
      <c r="I29" s="21" t="n">
        <f aca="false">IF(E$33=0,0,E29/E$33)</f>
        <v>0.252109672963152</v>
      </c>
    </row>
    <row r="30" customFormat="false" ht="15" hidden="false" customHeight="false" outlineLevel="0" collapsed="false">
      <c r="A30" s="5" t="s">
        <v>210</v>
      </c>
      <c r="B30" s="5" t="s">
        <v>215</v>
      </c>
      <c r="C30" s="20" t="n">
        <v>5483</v>
      </c>
      <c r="D30" s="20" t="n">
        <v>3497</v>
      </c>
      <c r="E30" s="20" t="n">
        <v>6409</v>
      </c>
      <c r="G30" s="21" t="n">
        <f aca="false">IF(C$33=0,0,C30/C$33)</f>
        <v>0.0608363753370244</v>
      </c>
      <c r="H30" s="21" t="n">
        <f aca="false">IF(D$33=0,0,D30/D$33)</f>
        <v>0.183117767188564</v>
      </c>
      <c r="I30" s="21" t="n">
        <f aca="false">IF(E$33=0,0,E30/E$33)</f>
        <v>0.0641560807631861</v>
      </c>
    </row>
    <row r="31" customFormat="false" ht="15" hidden="false" customHeight="false" outlineLevel="0" collapsed="false">
      <c r="A31" s="5" t="s">
        <v>211</v>
      </c>
      <c r="B31" s="5" t="s">
        <v>215</v>
      </c>
      <c r="C31" s="20" t="n">
        <v>0</v>
      </c>
      <c r="D31" s="20" t="n">
        <v>0</v>
      </c>
      <c r="E31" s="20" t="n">
        <v>0</v>
      </c>
      <c r="G31" s="21" t="n">
        <f aca="false">IF(C$33=0,0,C31/C$33)</f>
        <v>0</v>
      </c>
      <c r="H31" s="21" t="n">
        <f aca="false">IF(D$33=0,0,D31/D$33)</f>
        <v>0</v>
      </c>
      <c r="I31" s="21" t="n">
        <f aca="false">IF(E$33=0,0,E31/E$33)</f>
        <v>0</v>
      </c>
    </row>
    <row r="32" customFormat="false" ht="15" hidden="false" customHeight="false" outlineLevel="0" collapsed="false">
      <c r="A32" s="3" t="s">
        <v>212</v>
      </c>
      <c r="C32" s="22" t="n">
        <f aca="false">SUM(C21:C31)</f>
        <v>90128</v>
      </c>
      <c r="D32" s="22" t="n">
        <f aca="false">SUM(D21:D31)</f>
        <v>19097</v>
      </c>
      <c r="E32" s="22" t="n">
        <f aca="false">SUM(E21:E31)</f>
        <v>99897</v>
      </c>
    </row>
    <row r="33" customFormat="false" ht="15" hidden="false" customHeight="false" outlineLevel="0" collapsed="false">
      <c r="A33" s="4" t="s">
        <v>213</v>
      </c>
      <c r="B33" s="5" t="s">
        <v>215</v>
      </c>
      <c r="C33" s="20" t="n">
        <v>90127</v>
      </c>
      <c r="D33" s="20" t="n">
        <v>19097</v>
      </c>
      <c r="E33" s="20" t="n">
        <v>99897</v>
      </c>
    </row>
    <row r="35" customFormat="false" ht="15" hidden="false" customHeight="false" outlineLevel="0" collapsed="false">
      <c r="A35" s="10" t="s">
        <v>216</v>
      </c>
      <c r="B35" s="11"/>
      <c r="C35" s="11"/>
      <c r="D35" s="11"/>
      <c r="E35" s="11"/>
      <c r="F35" s="11"/>
      <c r="G35" s="11"/>
      <c r="H35" s="11"/>
      <c r="I35" s="11"/>
    </row>
    <row r="36" customFormat="false" ht="15" hidden="false" customHeight="false" outlineLevel="0" collapsed="false">
      <c r="A36" s="5" t="s">
        <v>200</v>
      </c>
      <c r="B36" s="5" t="s">
        <v>217</v>
      </c>
      <c r="C36" s="20" t="n">
        <v>0</v>
      </c>
      <c r="D36" s="20" t="n">
        <v>0</v>
      </c>
      <c r="E36" s="20" t="n">
        <v>0</v>
      </c>
      <c r="G36" s="21" t="n">
        <f aca="false">IF(C$48=0,0,C36/C$48)</f>
        <v>0</v>
      </c>
      <c r="H36" s="21" t="n">
        <f aca="false">IF(D$48=0,0,D36/D$48)</f>
        <v>0</v>
      </c>
      <c r="I36" s="21" t="n">
        <f aca="false">IF(E$48=0,0,E36/E$48)</f>
        <v>0</v>
      </c>
    </row>
    <row r="37" customFormat="false" ht="15" hidden="false" customHeight="false" outlineLevel="0" collapsed="false">
      <c r="A37" s="5" t="s">
        <v>202</v>
      </c>
      <c r="B37" s="5" t="s">
        <v>217</v>
      </c>
      <c r="C37" s="20" t="n">
        <v>0</v>
      </c>
      <c r="D37" s="20" t="n">
        <v>0</v>
      </c>
      <c r="E37" s="20" t="n">
        <v>0</v>
      </c>
      <c r="G37" s="21" t="n">
        <f aca="false">IF(C$48=0,0,C37/C$48)</f>
        <v>0</v>
      </c>
      <c r="H37" s="21" t="n">
        <f aca="false">IF(D$48=0,0,D37/D$48)</f>
        <v>0</v>
      </c>
      <c r="I37" s="21" t="n">
        <f aca="false">IF(E$48=0,0,E37/E$48)</f>
        <v>0</v>
      </c>
    </row>
    <row r="38" customFormat="false" ht="15" hidden="false" customHeight="false" outlineLevel="0" collapsed="false">
      <c r="A38" s="5" t="s">
        <v>203</v>
      </c>
      <c r="B38" s="5" t="s">
        <v>217</v>
      </c>
      <c r="C38" s="20" t="n">
        <v>0</v>
      </c>
      <c r="D38" s="20" t="n">
        <v>0</v>
      </c>
      <c r="E38" s="20" t="n">
        <v>0</v>
      </c>
      <c r="G38" s="21" t="n">
        <f aca="false">IF(C$48=0,0,C38/C$48)</f>
        <v>0</v>
      </c>
      <c r="H38" s="21" t="n">
        <f aca="false">IF(D$48=0,0,D38/D$48)</f>
        <v>0</v>
      </c>
      <c r="I38" s="21" t="n">
        <f aca="false">IF(E$48=0,0,E38/E$48)</f>
        <v>0</v>
      </c>
    </row>
    <row r="39" customFormat="false" ht="15" hidden="false" customHeight="false" outlineLevel="0" collapsed="false">
      <c r="A39" s="5" t="s">
        <v>204</v>
      </c>
      <c r="B39" s="5" t="s">
        <v>217</v>
      </c>
      <c r="C39" s="20" t="n">
        <v>0</v>
      </c>
      <c r="D39" s="20" t="n">
        <v>0</v>
      </c>
      <c r="E39" s="20" t="n">
        <v>0</v>
      </c>
      <c r="G39" s="21" t="n">
        <f aca="false">IF(C$48=0,0,C39/C$48)</f>
        <v>0</v>
      </c>
      <c r="H39" s="21" t="n">
        <f aca="false">IF(D$48=0,0,D39/D$48)</f>
        <v>0</v>
      </c>
      <c r="I39" s="21" t="n">
        <f aca="false">IF(E$48=0,0,E39/E$48)</f>
        <v>0</v>
      </c>
    </row>
    <row r="40" customFormat="false" ht="15" hidden="false" customHeight="false" outlineLevel="0" collapsed="false">
      <c r="A40" s="5" t="s">
        <v>205</v>
      </c>
      <c r="B40" s="5" t="s">
        <v>217</v>
      </c>
      <c r="C40" s="20" t="n">
        <v>0</v>
      </c>
      <c r="D40" s="20" t="n">
        <v>0</v>
      </c>
      <c r="E40" s="20" t="n">
        <v>0</v>
      </c>
      <c r="G40" s="21" t="n">
        <f aca="false">IF(C$48=0,0,C40/C$48)</f>
        <v>0</v>
      </c>
      <c r="H40" s="21" t="n">
        <f aca="false">IF(D$48=0,0,D40/D$48)</f>
        <v>0</v>
      </c>
      <c r="I40" s="21" t="n">
        <f aca="false">IF(E$48=0,0,E40/E$48)</f>
        <v>0</v>
      </c>
    </row>
    <row r="41" customFormat="false" ht="15" hidden="false" customHeight="false" outlineLevel="0" collapsed="false">
      <c r="A41" s="5" t="s">
        <v>206</v>
      </c>
      <c r="B41" s="5" t="s">
        <v>217</v>
      </c>
      <c r="C41" s="20" t="n">
        <v>0</v>
      </c>
      <c r="D41" s="20" t="n">
        <v>0</v>
      </c>
      <c r="E41" s="20" t="n">
        <v>0</v>
      </c>
      <c r="G41" s="21" t="n">
        <f aca="false">IF(C$48=0,0,C41/C$48)</f>
        <v>0</v>
      </c>
      <c r="H41" s="21" t="n">
        <f aca="false">IF(D$48=0,0,D41/D$48)</f>
        <v>0</v>
      </c>
      <c r="I41" s="21" t="n">
        <f aca="false">IF(E$48=0,0,E41/E$48)</f>
        <v>0</v>
      </c>
    </row>
    <row r="42" customFormat="false" ht="15" hidden="false" customHeight="false" outlineLevel="0" collapsed="false">
      <c r="A42" s="5" t="s">
        <v>207</v>
      </c>
      <c r="B42" s="5" t="s">
        <v>217</v>
      </c>
      <c r="C42" s="20" t="n">
        <v>0</v>
      </c>
      <c r="D42" s="20" t="n">
        <v>0</v>
      </c>
      <c r="E42" s="20" t="n">
        <v>0</v>
      </c>
      <c r="G42" s="21" t="n">
        <f aca="false">IF(C$48=0,0,C42/C$48)</f>
        <v>0</v>
      </c>
      <c r="H42" s="21" t="n">
        <f aca="false">IF(D$48=0,0,D42/D$48)</f>
        <v>0</v>
      </c>
      <c r="I42" s="21" t="n">
        <f aca="false">IF(E$48=0,0,E42/E$48)</f>
        <v>0</v>
      </c>
    </row>
    <row r="43" customFormat="false" ht="15" hidden="false" customHeight="false" outlineLevel="0" collapsed="false">
      <c r="A43" s="5" t="s">
        <v>208</v>
      </c>
      <c r="B43" s="5" t="s">
        <v>217</v>
      </c>
      <c r="C43" s="20" t="n">
        <v>55</v>
      </c>
      <c r="D43" s="20" t="n">
        <v>37</v>
      </c>
      <c r="E43" s="20" t="n">
        <v>1</v>
      </c>
      <c r="G43" s="21" t="n">
        <f aca="false">IF(C$48=0,0,C43/C$48)</f>
        <v>0.00524909333842336</v>
      </c>
      <c r="H43" s="21" t="n">
        <f aca="false">IF(D$48=0,0,D43/D$48)</f>
        <v>0.00840527033166742</v>
      </c>
      <c r="I43" s="21" t="n">
        <f aca="false">IF(E$48=0,0,E43/E$48)</f>
        <v>8.09192425958893E-005</v>
      </c>
    </row>
    <row r="44" customFormat="false" ht="15" hidden="false" customHeight="false" outlineLevel="0" collapsed="false">
      <c r="A44" s="5" t="s">
        <v>209</v>
      </c>
      <c r="B44" s="5" t="s">
        <v>217</v>
      </c>
      <c r="C44" s="20" t="n">
        <v>10423</v>
      </c>
      <c r="D44" s="20" t="n">
        <v>4365</v>
      </c>
      <c r="E44" s="20" t="n">
        <v>12357</v>
      </c>
      <c r="G44" s="21" t="n">
        <f aca="false">IF(C$48=0,0,C44/C$48)</f>
        <v>0.994750906661577</v>
      </c>
      <c r="H44" s="21" t="n">
        <f aca="false">IF(D$48=0,0,D44/D$48)</f>
        <v>0.991594729668333</v>
      </c>
      <c r="I44" s="21" t="n">
        <f aca="false">IF(E$48=0,0,E44/E$48)</f>
        <v>0.999919080757404</v>
      </c>
    </row>
    <row r="45" customFormat="false" ht="15" hidden="false" customHeight="false" outlineLevel="0" collapsed="false">
      <c r="A45" s="5" t="s">
        <v>210</v>
      </c>
      <c r="B45" s="5" t="s">
        <v>217</v>
      </c>
      <c r="C45" s="20" t="n">
        <v>0</v>
      </c>
      <c r="D45" s="20" t="n">
        <v>0</v>
      </c>
      <c r="E45" s="20" t="n">
        <v>0</v>
      </c>
      <c r="G45" s="21" t="n">
        <f aca="false">IF(C$48=0,0,C45/C$48)</f>
        <v>0</v>
      </c>
      <c r="H45" s="21" t="n">
        <f aca="false">IF(D$48=0,0,D45/D$48)</f>
        <v>0</v>
      </c>
      <c r="I45" s="21" t="n">
        <f aca="false">IF(E$48=0,0,E45/E$48)</f>
        <v>0</v>
      </c>
    </row>
    <row r="46" customFormat="false" ht="15" hidden="false" customHeight="false" outlineLevel="0" collapsed="false">
      <c r="A46" s="5" t="s">
        <v>211</v>
      </c>
      <c r="B46" s="5" t="s">
        <v>217</v>
      </c>
      <c r="C46" s="20" t="n">
        <v>0</v>
      </c>
      <c r="D46" s="20" t="n">
        <v>0</v>
      </c>
      <c r="E46" s="20" t="n">
        <v>0</v>
      </c>
      <c r="G46" s="21" t="n">
        <f aca="false">IF(C$48=0,0,C46/C$48)</f>
        <v>0</v>
      </c>
      <c r="H46" s="21" t="n">
        <f aca="false">IF(D$48=0,0,D46/D$48)</f>
        <v>0</v>
      </c>
      <c r="I46" s="21" t="n">
        <f aca="false">IF(E$48=0,0,E46/E$48)</f>
        <v>0</v>
      </c>
    </row>
    <row r="47" customFormat="false" ht="15" hidden="false" customHeight="false" outlineLevel="0" collapsed="false">
      <c r="A47" s="3" t="s">
        <v>212</v>
      </c>
      <c r="C47" s="22" t="n">
        <f aca="false">SUM(C36:C46)</f>
        <v>10478</v>
      </c>
      <c r="D47" s="22" t="n">
        <f aca="false">SUM(D36:D46)</f>
        <v>4402</v>
      </c>
      <c r="E47" s="22" t="n">
        <f aca="false">SUM(E36:E46)</f>
        <v>12358</v>
      </c>
    </row>
    <row r="48" customFormat="false" ht="15" hidden="false" customHeight="false" outlineLevel="0" collapsed="false">
      <c r="A48" s="4" t="s">
        <v>213</v>
      </c>
      <c r="B48" s="5" t="s">
        <v>217</v>
      </c>
      <c r="C48" s="20" t="n">
        <v>10478</v>
      </c>
      <c r="D48" s="20" t="n">
        <v>4402</v>
      </c>
      <c r="E48" s="20" t="n">
        <v>12358</v>
      </c>
    </row>
    <row r="50" customFormat="false" ht="15" hidden="false" customHeight="false" outlineLevel="0" collapsed="false">
      <c r="A50" s="10" t="s">
        <v>218</v>
      </c>
      <c r="B50" s="11"/>
      <c r="C50" s="11"/>
      <c r="D50" s="11"/>
      <c r="E50" s="11"/>
      <c r="F50" s="11"/>
      <c r="G50" s="11"/>
      <c r="H50" s="11"/>
      <c r="I50" s="11"/>
    </row>
    <row r="51" customFormat="false" ht="15" hidden="false" customHeight="false" outlineLevel="0" collapsed="false">
      <c r="A51" s="5" t="s">
        <v>200</v>
      </c>
      <c r="B51" s="5" t="s">
        <v>219</v>
      </c>
      <c r="C51" s="20" t="n">
        <v>1</v>
      </c>
      <c r="D51" s="20" t="n">
        <v>0</v>
      </c>
      <c r="E51" s="20" t="n">
        <v>0</v>
      </c>
      <c r="G51" s="21" t="n">
        <f aca="false">IF(C$63=0,0,C51/C$63)</f>
        <v>0.0238095238095238</v>
      </c>
      <c r="H51" s="21" t="n">
        <f aca="false">IF(D$63=0,0,D51/D$63)</f>
        <v>0</v>
      </c>
      <c r="I51" s="21" t="n">
        <f aca="false">IF(E$63=0,0,E51/E$63)</f>
        <v>0</v>
      </c>
    </row>
    <row r="52" customFormat="false" ht="15" hidden="false" customHeight="false" outlineLevel="0" collapsed="false">
      <c r="A52" s="5" t="s">
        <v>202</v>
      </c>
      <c r="B52" s="5" t="s">
        <v>219</v>
      </c>
      <c r="C52" s="20" t="n">
        <v>2</v>
      </c>
      <c r="D52" s="20" t="n">
        <v>0</v>
      </c>
      <c r="E52" s="20" t="n">
        <v>3</v>
      </c>
      <c r="G52" s="21" t="n">
        <f aca="false">IF(C$63=0,0,C52/C$63)</f>
        <v>0.0476190476190476</v>
      </c>
      <c r="H52" s="21" t="n">
        <f aca="false">IF(D$63=0,0,D52/D$63)</f>
        <v>0</v>
      </c>
      <c r="I52" s="21" t="n">
        <f aca="false">IF(E$63=0,0,E52/E$63)</f>
        <v>0.0666666666666667</v>
      </c>
    </row>
    <row r="53" customFormat="false" ht="15" hidden="false" customHeight="false" outlineLevel="0" collapsed="false">
      <c r="A53" s="5" t="s">
        <v>203</v>
      </c>
      <c r="B53" s="5" t="s">
        <v>219</v>
      </c>
      <c r="C53" s="20" t="n">
        <v>0</v>
      </c>
      <c r="D53" s="20" t="n">
        <v>0</v>
      </c>
      <c r="E53" s="20" t="n">
        <v>0</v>
      </c>
      <c r="G53" s="21" t="n">
        <f aca="false">IF(C$63=0,0,C53/C$63)</f>
        <v>0</v>
      </c>
      <c r="H53" s="21" t="n">
        <f aca="false">IF(D$63=0,0,D53/D$63)</f>
        <v>0</v>
      </c>
      <c r="I53" s="21" t="n">
        <f aca="false">IF(E$63=0,0,E53/E$63)</f>
        <v>0</v>
      </c>
    </row>
    <row r="54" customFormat="false" ht="15" hidden="false" customHeight="false" outlineLevel="0" collapsed="false">
      <c r="A54" s="5" t="s">
        <v>204</v>
      </c>
      <c r="B54" s="5" t="s">
        <v>219</v>
      </c>
      <c r="C54" s="20" t="n">
        <v>1</v>
      </c>
      <c r="D54" s="20" t="n">
        <v>0</v>
      </c>
      <c r="E54" s="20" t="n">
        <v>0</v>
      </c>
      <c r="G54" s="21" t="n">
        <f aca="false">IF(C$63=0,0,C54/C$63)</f>
        <v>0.0238095238095238</v>
      </c>
      <c r="H54" s="21" t="n">
        <f aca="false">IF(D$63=0,0,D54/D$63)</f>
        <v>0</v>
      </c>
      <c r="I54" s="21" t="n">
        <f aca="false">IF(E$63=0,0,E54/E$63)</f>
        <v>0</v>
      </c>
    </row>
    <row r="55" customFormat="false" ht="15" hidden="false" customHeight="false" outlineLevel="0" collapsed="false">
      <c r="A55" s="5" t="s">
        <v>205</v>
      </c>
      <c r="B55" s="5" t="s">
        <v>219</v>
      </c>
      <c r="C55" s="20" t="n">
        <v>25</v>
      </c>
      <c r="D55" s="20" t="n">
        <v>0</v>
      </c>
      <c r="E55" s="20" t="n">
        <v>29</v>
      </c>
      <c r="G55" s="21" t="n">
        <f aca="false">IF(C$63=0,0,C55/C$63)</f>
        <v>0.595238095238095</v>
      </c>
      <c r="H55" s="21" t="n">
        <f aca="false">IF(D$63=0,0,D55/D$63)</f>
        <v>0</v>
      </c>
      <c r="I55" s="21" t="n">
        <f aca="false">IF(E$63=0,0,E55/E$63)</f>
        <v>0.644444444444445</v>
      </c>
    </row>
    <row r="56" customFormat="false" ht="15" hidden="false" customHeight="false" outlineLevel="0" collapsed="false">
      <c r="A56" s="5" t="s">
        <v>206</v>
      </c>
      <c r="B56" s="5" t="s">
        <v>219</v>
      </c>
      <c r="C56" s="20" t="n">
        <v>0</v>
      </c>
      <c r="D56" s="20" t="n">
        <v>0</v>
      </c>
      <c r="E56" s="20" t="n">
        <v>0</v>
      </c>
      <c r="G56" s="21" t="n">
        <f aca="false">IF(C$63=0,0,C56/C$63)</f>
        <v>0</v>
      </c>
      <c r="H56" s="21" t="n">
        <f aca="false">IF(D$63=0,0,D56/D$63)</f>
        <v>0</v>
      </c>
      <c r="I56" s="21" t="n">
        <f aca="false">IF(E$63=0,0,E56/E$63)</f>
        <v>0</v>
      </c>
    </row>
    <row r="57" customFormat="false" ht="15" hidden="false" customHeight="false" outlineLevel="0" collapsed="false">
      <c r="A57" s="5" t="s">
        <v>207</v>
      </c>
      <c r="B57" s="5" t="s">
        <v>219</v>
      </c>
      <c r="C57" s="20" t="n">
        <v>3</v>
      </c>
      <c r="D57" s="20" t="n">
        <v>1</v>
      </c>
      <c r="E57" s="20" t="n">
        <v>0</v>
      </c>
      <c r="G57" s="21" t="n">
        <f aca="false">IF(C$63=0,0,C57/C$63)</f>
        <v>0.0714285714285714</v>
      </c>
      <c r="H57" s="21" t="n">
        <f aca="false">IF(D$63=0,0,D57/D$63)</f>
        <v>0.166666666666667</v>
      </c>
      <c r="I57" s="21" t="n">
        <f aca="false">IF(E$63=0,0,E57/E$63)</f>
        <v>0</v>
      </c>
    </row>
    <row r="58" customFormat="false" ht="15" hidden="false" customHeight="false" outlineLevel="0" collapsed="false">
      <c r="A58" s="5" t="s">
        <v>208</v>
      </c>
      <c r="B58" s="5" t="s">
        <v>219</v>
      </c>
      <c r="C58" s="20" t="n">
        <v>0</v>
      </c>
      <c r="D58" s="20" t="n">
        <v>0</v>
      </c>
      <c r="E58" s="20" t="n">
        <v>0</v>
      </c>
      <c r="G58" s="21" t="n">
        <f aca="false">IF(C$63=0,0,C58/C$63)</f>
        <v>0</v>
      </c>
      <c r="H58" s="21" t="n">
        <f aca="false">IF(D$63=0,0,D58/D$63)</f>
        <v>0</v>
      </c>
      <c r="I58" s="21" t="n">
        <f aca="false">IF(E$63=0,0,E58/E$63)</f>
        <v>0</v>
      </c>
    </row>
    <row r="59" customFormat="false" ht="15" hidden="false" customHeight="false" outlineLevel="0" collapsed="false">
      <c r="A59" s="5" t="s">
        <v>209</v>
      </c>
      <c r="B59" s="5" t="s">
        <v>219</v>
      </c>
      <c r="C59" s="20" t="n">
        <v>8</v>
      </c>
      <c r="D59" s="20" t="n">
        <v>3</v>
      </c>
      <c r="E59" s="20" t="n">
        <v>10</v>
      </c>
      <c r="G59" s="21" t="n">
        <f aca="false">IF(C$63=0,0,C59/C$63)</f>
        <v>0.19047619047619</v>
      </c>
      <c r="H59" s="21" t="n">
        <f aca="false">IF(D$63=0,0,D59/D$63)</f>
        <v>0.5</v>
      </c>
      <c r="I59" s="21" t="n">
        <f aca="false">IF(E$63=0,0,E59/E$63)</f>
        <v>0.222222222222222</v>
      </c>
    </row>
    <row r="60" customFormat="false" ht="15" hidden="false" customHeight="false" outlineLevel="0" collapsed="false">
      <c r="A60" s="5" t="s">
        <v>210</v>
      </c>
      <c r="B60" s="5" t="s">
        <v>219</v>
      </c>
      <c r="C60" s="20" t="n">
        <v>2</v>
      </c>
      <c r="D60" s="20" t="n">
        <v>1</v>
      </c>
      <c r="E60" s="20" t="n">
        <v>2</v>
      </c>
      <c r="G60" s="21" t="n">
        <f aca="false">IF(C$63=0,0,C60/C$63)</f>
        <v>0.0476190476190476</v>
      </c>
      <c r="H60" s="21" t="n">
        <f aca="false">IF(D$63=0,0,D60/D$63)</f>
        <v>0.166666666666667</v>
      </c>
      <c r="I60" s="21" t="n">
        <f aca="false">IF(E$63=0,0,E60/E$63)</f>
        <v>0.0444444444444444</v>
      </c>
    </row>
    <row r="61" customFormat="false" ht="15" hidden="false" customHeight="false" outlineLevel="0" collapsed="false">
      <c r="A61" s="5" t="s">
        <v>211</v>
      </c>
      <c r="B61" s="5" t="s">
        <v>219</v>
      </c>
      <c r="C61" s="20" t="n">
        <v>0</v>
      </c>
      <c r="D61" s="20" t="n">
        <v>0</v>
      </c>
      <c r="E61" s="20" t="n">
        <v>0</v>
      </c>
      <c r="G61" s="21" t="n">
        <f aca="false">IF(C$63=0,0,C61/C$63)</f>
        <v>0</v>
      </c>
      <c r="H61" s="21" t="n">
        <f aca="false">IF(D$63=0,0,D61/D$63)</f>
        <v>0</v>
      </c>
      <c r="I61" s="21" t="n">
        <f aca="false">IF(E$63=0,0,E61/E$63)</f>
        <v>0</v>
      </c>
    </row>
    <row r="62" customFormat="false" ht="15" hidden="false" customHeight="false" outlineLevel="0" collapsed="false">
      <c r="A62" s="3" t="s">
        <v>212</v>
      </c>
      <c r="C62" s="22" t="n">
        <f aca="false">SUM(C51:C61)</f>
        <v>42</v>
      </c>
      <c r="D62" s="22" t="n">
        <f aca="false">SUM(D51:D61)</f>
        <v>5</v>
      </c>
      <c r="E62" s="22" t="n">
        <f aca="false">SUM(E51:E61)</f>
        <v>44</v>
      </c>
    </row>
    <row r="63" customFormat="false" ht="15" hidden="false" customHeight="false" outlineLevel="0" collapsed="false">
      <c r="A63" s="4" t="s">
        <v>213</v>
      </c>
      <c r="B63" s="5" t="s">
        <v>219</v>
      </c>
      <c r="C63" s="20" t="n">
        <v>42</v>
      </c>
      <c r="D63" s="20" t="n">
        <v>6</v>
      </c>
      <c r="E63" s="20" t="n">
        <v>45</v>
      </c>
    </row>
    <row r="65" customFormat="false" ht="15" hidden="false" customHeight="false" outlineLevel="0" collapsed="false">
      <c r="A65" s="10" t="s">
        <v>220</v>
      </c>
      <c r="B65" s="11"/>
      <c r="C65" s="11"/>
      <c r="D65" s="11"/>
      <c r="E65" s="11"/>
      <c r="F65" s="11"/>
      <c r="G65" s="11"/>
      <c r="H65" s="11"/>
      <c r="I65" s="11"/>
    </row>
    <row r="66" customFormat="false" ht="15" hidden="false" customHeight="false" outlineLevel="0" collapsed="false">
      <c r="A66" s="5" t="s">
        <v>200</v>
      </c>
      <c r="B66" s="5" t="s">
        <v>221</v>
      </c>
      <c r="C66" s="20" t="n">
        <v>0</v>
      </c>
      <c r="D66" s="20" t="n">
        <v>0</v>
      </c>
      <c r="E66" s="20" t="n">
        <v>0</v>
      </c>
      <c r="G66" s="21" t="n">
        <f aca="false">IF(C$78=0,0,C66/C$78)</f>
        <v>0</v>
      </c>
      <c r="H66" s="21" t="n">
        <f aca="false">IF(D$78=0,0,D66/D$78)</f>
        <v>0</v>
      </c>
      <c r="I66" s="21" t="n">
        <f aca="false">IF(E$78=0,0,E66/E$78)</f>
        <v>0</v>
      </c>
    </row>
    <row r="67" customFormat="false" ht="15" hidden="false" customHeight="false" outlineLevel="0" collapsed="false">
      <c r="A67" s="5" t="s">
        <v>202</v>
      </c>
      <c r="B67" s="5" t="s">
        <v>221</v>
      </c>
      <c r="C67" s="20" t="n">
        <v>1</v>
      </c>
      <c r="D67" s="20" t="n">
        <v>0</v>
      </c>
      <c r="E67" s="20" t="n">
        <v>1</v>
      </c>
      <c r="G67" s="21" t="n">
        <f aca="false">IF(C$78=0,0,C67/C$78)</f>
        <v>0.0384615384615385</v>
      </c>
      <c r="H67" s="21" t="n">
        <f aca="false">IF(D$78=0,0,D67/D$78)</f>
        <v>0</v>
      </c>
      <c r="I67" s="21" t="n">
        <f aca="false">IF(E$78=0,0,E67/E$78)</f>
        <v>0.0163934426229508</v>
      </c>
    </row>
    <row r="68" customFormat="false" ht="15" hidden="false" customHeight="false" outlineLevel="0" collapsed="false">
      <c r="A68" s="5" t="s">
        <v>203</v>
      </c>
      <c r="B68" s="5" t="s">
        <v>221</v>
      </c>
      <c r="C68" s="20" t="n">
        <v>0</v>
      </c>
      <c r="D68" s="20" t="n">
        <v>0</v>
      </c>
      <c r="E68" s="20" t="n">
        <v>0</v>
      </c>
      <c r="G68" s="21" t="n">
        <f aca="false">IF(C$78=0,0,C68/C$78)</f>
        <v>0</v>
      </c>
      <c r="H68" s="21" t="n">
        <f aca="false">IF(D$78=0,0,D68/D$78)</f>
        <v>0</v>
      </c>
      <c r="I68" s="21" t="n">
        <f aca="false">IF(E$78=0,0,E68/E$78)</f>
        <v>0</v>
      </c>
    </row>
    <row r="69" customFormat="false" ht="15" hidden="false" customHeight="false" outlineLevel="0" collapsed="false">
      <c r="A69" s="5" t="s">
        <v>204</v>
      </c>
      <c r="B69" s="5" t="s">
        <v>221</v>
      </c>
      <c r="C69" s="20" t="n">
        <v>0</v>
      </c>
      <c r="D69" s="20" t="n">
        <v>0</v>
      </c>
      <c r="E69" s="20" t="n">
        <v>0</v>
      </c>
      <c r="G69" s="21" t="n">
        <f aca="false">IF(C$78=0,0,C69/C$78)</f>
        <v>0</v>
      </c>
      <c r="H69" s="21" t="n">
        <f aca="false">IF(D$78=0,0,D69/D$78)</f>
        <v>0</v>
      </c>
      <c r="I69" s="21" t="n">
        <f aca="false">IF(E$78=0,0,E69/E$78)</f>
        <v>0</v>
      </c>
    </row>
    <row r="70" customFormat="false" ht="15" hidden="false" customHeight="false" outlineLevel="0" collapsed="false">
      <c r="A70" s="5" t="s">
        <v>205</v>
      </c>
      <c r="B70" s="5" t="s">
        <v>221</v>
      </c>
      <c r="C70" s="20" t="n">
        <v>16</v>
      </c>
      <c r="D70" s="20" t="n">
        <v>-1</v>
      </c>
      <c r="E70" s="20" t="n">
        <v>51</v>
      </c>
      <c r="G70" s="21" t="n">
        <f aca="false">IF(C$78=0,0,C70/C$78)</f>
        <v>0.615384615384615</v>
      </c>
      <c r="H70" s="21" t="n">
        <f aca="false">IF(D$78=0,0,D70/D$78)</f>
        <v>-0.5</v>
      </c>
      <c r="I70" s="21" t="n">
        <f aca="false">IF(E$78=0,0,E70/E$78)</f>
        <v>0.836065573770492</v>
      </c>
    </row>
    <row r="71" customFormat="false" ht="15" hidden="false" customHeight="false" outlineLevel="0" collapsed="false">
      <c r="A71" s="5" t="s">
        <v>206</v>
      </c>
      <c r="B71" s="5" t="s">
        <v>221</v>
      </c>
      <c r="C71" s="20" t="n">
        <v>0</v>
      </c>
      <c r="D71" s="20" t="n">
        <v>0</v>
      </c>
      <c r="E71" s="20" t="n">
        <v>0</v>
      </c>
      <c r="G71" s="21" t="n">
        <f aca="false">IF(C$78=0,0,C71/C$78)</f>
        <v>0</v>
      </c>
      <c r="H71" s="21" t="n">
        <f aca="false">IF(D$78=0,0,D71/D$78)</f>
        <v>0</v>
      </c>
      <c r="I71" s="21" t="n">
        <f aca="false">IF(E$78=0,0,E71/E$78)</f>
        <v>0</v>
      </c>
    </row>
    <row r="72" customFormat="false" ht="15" hidden="false" customHeight="false" outlineLevel="0" collapsed="false">
      <c r="A72" s="5" t="s">
        <v>207</v>
      </c>
      <c r="B72" s="5" t="s">
        <v>221</v>
      </c>
      <c r="C72" s="20" t="n">
        <v>1</v>
      </c>
      <c r="D72" s="20" t="n">
        <v>0</v>
      </c>
      <c r="E72" s="20" t="n">
        <v>0</v>
      </c>
      <c r="G72" s="21" t="n">
        <f aca="false">IF(C$78=0,0,C72/C$78)</f>
        <v>0.0384615384615385</v>
      </c>
      <c r="H72" s="21" t="n">
        <f aca="false">IF(D$78=0,0,D72/D$78)</f>
        <v>0</v>
      </c>
      <c r="I72" s="21" t="n">
        <f aca="false">IF(E$78=0,0,E72/E$78)</f>
        <v>0</v>
      </c>
    </row>
    <row r="73" customFormat="false" ht="15" hidden="false" customHeight="false" outlineLevel="0" collapsed="false">
      <c r="A73" s="5" t="s">
        <v>208</v>
      </c>
      <c r="B73" s="5" t="s">
        <v>221</v>
      </c>
      <c r="C73" s="20" t="n">
        <v>0</v>
      </c>
      <c r="D73" s="20" t="n">
        <v>0</v>
      </c>
      <c r="E73" s="20" t="n">
        <v>0</v>
      </c>
      <c r="G73" s="21" t="n">
        <f aca="false">IF(C$78=0,0,C73/C$78)</f>
        <v>0</v>
      </c>
      <c r="H73" s="21" t="n">
        <f aca="false">IF(D$78=0,0,D73/D$78)</f>
        <v>0</v>
      </c>
      <c r="I73" s="21" t="n">
        <f aca="false">IF(E$78=0,0,E73/E$78)</f>
        <v>0</v>
      </c>
    </row>
    <row r="74" customFormat="false" ht="15" hidden="false" customHeight="false" outlineLevel="0" collapsed="false">
      <c r="A74" s="5" t="s">
        <v>209</v>
      </c>
      <c r="B74" s="5" t="s">
        <v>221</v>
      </c>
      <c r="C74" s="20" t="n">
        <v>8</v>
      </c>
      <c r="D74" s="20" t="n">
        <v>3</v>
      </c>
      <c r="E74" s="20" t="n">
        <v>8</v>
      </c>
      <c r="G74" s="21" t="n">
        <f aca="false">IF(C$78=0,0,C74/C$78)</f>
        <v>0.307692307692308</v>
      </c>
      <c r="H74" s="21" t="n">
        <f aca="false">IF(D$78=0,0,D74/D$78)</f>
        <v>1.5</v>
      </c>
      <c r="I74" s="21" t="n">
        <f aca="false">IF(E$78=0,0,E74/E$78)</f>
        <v>0.131147540983607</v>
      </c>
    </row>
    <row r="75" customFormat="false" ht="15" hidden="false" customHeight="false" outlineLevel="0" collapsed="false">
      <c r="A75" s="5" t="s">
        <v>210</v>
      </c>
      <c r="B75" s="5" t="s">
        <v>221</v>
      </c>
      <c r="C75" s="20" t="n">
        <v>0</v>
      </c>
      <c r="D75" s="20" t="n">
        <v>0</v>
      </c>
      <c r="E75" s="20" t="n">
        <v>0</v>
      </c>
      <c r="G75" s="21" t="n">
        <f aca="false">IF(C$78=0,0,C75/C$78)</f>
        <v>0</v>
      </c>
      <c r="H75" s="21" t="n">
        <f aca="false">IF(D$78=0,0,D75/D$78)</f>
        <v>0</v>
      </c>
      <c r="I75" s="21" t="n">
        <f aca="false">IF(E$78=0,0,E75/E$78)</f>
        <v>0</v>
      </c>
    </row>
    <row r="76" customFormat="false" ht="15" hidden="false" customHeight="false" outlineLevel="0" collapsed="false">
      <c r="A76" s="5" t="s">
        <v>211</v>
      </c>
      <c r="B76" s="5" t="s">
        <v>221</v>
      </c>
      <c r="C76" s="20" t="n">
        <v>0</v>
      </c>
      <c r="D76" s="20" t="n">
        <v>0</v>
      </c>
      <c r="E76" s="20" t="n">
        <v>0</v>
      </c>
      <c r="G76" s="21" t="n">
        <f aca="false">IF(C$78=0,0,C76/C$78)</f>
        <v>0</v>
      </c>
      <c r="H76" s="21" t="n">
        <f aca="false">IF(D$78=0,0,D76/D$78)</f>
        <v>0</v>
      </c>
      <c r="I76" s="21" t="n">
        <f aca="false">IF(E$78=0,0,E76/E$78)</f>
        <v>0</v>
      </c>
    </row>
    <row r="77" customFormat="false" ht="15" hidden="false" customHeight="false" outlineLevel="0" collapsed="false">
      <c r="A77" s="3" t="s">
        <v>212</v>
      </c>
      <c r="C77" s="22" t="n">
        <f aca="false">SUM(C66:C76)</f>
        <v>26</v>
      </c>
      <c r="D77" s="22" t="n">
        <f aca="false">SUM(D66:D76)</f>
        <v>2</v>
      </c>
      <c r="E77" s="22" t="n">
        <f aca="false">SUM(E66:E76)</f>
        <v>60</v>
      </c>
    </row>
    <row r="78" customFormat="false" ht="15" hidden="false" customHeight="false" outlineLevel="0" collapsed="false">
      <c r="A78" s="4" t="s">
        <v>213</v>
      </c>
      <c r="B78" s="5" t="s">
        <v>221</v>
      </c>
      <c r="C78" s="20" t="n">
        <v>26</v>
      </c>
      <c r="D78" s="20" t="n">
        <v>2</v>
      </c>
      <c r="E78" s="20" t="n">
        <v>61</v>
      </c>
    </row>
    <row r="80" customFormat="false" ht="15" hidden="false" customHeight="false" outlineLevel="0" collapsed="false">
      <c r="A80" s="10" t="s">
        <v>222</v>
      </c>
      <c r="B80" s="11"/>
      <c r="C80" s="11"/>
      <c r="D80" s="11"/>
      <c r="E80" s="11"/>
      <c r="F80" s="11"/>
      <c r="G80" s="11"/>
      <c r="H80" s="11"/>
      <c r="I80" s="11"/>
    </row>
    <row r="81" customFormat="false" ht="15" hidden="false" customHeight="false" outlineLevel="0" collapsed="false">
      <c r="A81" s="5" t="s">
        <v>200</v>
      </c>
      <c r="B81" s="5" t="s">
        <v>136</v>
      </c>
      <c r="C81" s="20" t="n">
        <v>4</v>
      </c>
      <c r="D81" s="20" t="n">
        <v>0</v>
      </c>
      <c r="E81" s="20" t="n">
        <v>0</v>
      </c>
      <c r="G81" s="21" t="n">
        <f aca="false">IF(C$93=0,0,C81/C$93)</f>
        <v>0.00135777325186694</v>
      </c>
      <c r="H81" s="21" t="n">
        <f aca="false">IF(D$93=0,0,D81/D$93)</f>
        <v>0</v>
      </c>
      <c r="I81" s="21" t="n">
        <f aca="false">IF(E$93=0,0,E81/E$93)</f>
        <v>0</v>
      </c>
    </row>
    <row r="82" customFormat="false" ht="15" hidden="false" customHeight="false" outlineLevel="0" collapsed="false">
      <c r="A82" s="5" t="s">
        <v>202</v>
      </c>
      <c r="B82" s="5" t="s">
        <v>136</v>
      </c>
      <c r="C82" s="20" t="n">
        <v>8</v>
      </c>
      <c r="D82" s="20" t="n">
        <v>0</v>
      </c>
      <c r="E82" s="20" t="n">
        <v>12</v>
      </c>
      <c r="G82" s="21" t="n">
        <f aca="false">IF(C$93=0,0,C82/C$93)</f>
        <v>0.00271554650373388</v>
      </c>
      <c r="H82" s="21" t="n">
        <f aca="false">IF(D$93=0,0,D82/D$93)</f>
        <v>0</v>
      </c>
      <c r="I82" s="21" t="n">
        <f aca="false">IF(E$93=0,0,E82/E$93)</f>
        <v>0.00504413619167718</v>
      </c>
    </row>
    <row r="83" customFormat="false" ht="15" hidden="false" customHeight="false" outlineLevel="0" collapsed="false">
      <c r="A83" s="5" t="s">
        <v>203</v>
      </c>
      <c r="B83" s="5" t="s">
        <v>136</v>
      </c>
      <c r="C83" s="20" t="n">
        <v>0</v>
      </c>
      <c r="D83" s="20" t="n">
        <v>0</v>
      </c>
      <c r="E83" s="20" t="n">
        <v>0</v>
      </c>
      <c r="G83" s="21" t="n">
        <f aca="false">IF(C$93=0,0,C83/C$93)</f>
        <v>0</v>
      </c>
      <c r="H83" s="21" t="n">
        <f aca="false">IF(D$93=0,0,D83/D$93)</f>
        <v>0</v>
      </c>
      <c r="I83" s="21" t="n">
        <f aca="false">IF(E$93=0,0,E83/E$93)</f>
        <v>0</v>
      </c>
    </row>
    <row r="84" customFormat="false" ht="15" hidden="false" customHeight="false" outlineLevel="0" collapsed="false">
      <c r="A84" s="5" t="s">
        <v>204</v>
      </c>
      <c r="B84" s="5" t="s">
        <v>136</v>
      </c>
      <c r="C84" s="20" t="n">
        <v>1</v>
      </c>
      <c r="D84" s="20" t="n">
        <v>0</v>
      </c>
      <c r="E84" s="20" t="n">
        <v>2</v>
      </c>
      <c r="G84" s="21" t="n">
        <f aca="false">IF(C$93=0,0,C84/C$93)</f>
        <v>0.000339443312966735</v>
      </c>
      <c r="H84" s="21" t="n">
        <f aca="false">IF(D$93=0,0,D84/D$93)</f>
        <v>0</v>
      </c>
      <c r="I84" s="21" t="n">
        <f aca="false">IF(E$93=0,0,E84/E$93)</f>
        <v>0.000840689365279529</v>
      </c>
    </row>
    <row r="85" customFormat="false" ht="15" hidden="false" customHeight="false" outlineLevel="0" collapsed="false">
      <c r="A85" s="5" t="s">
        <v>205</v>
      </c>
      <c r="B85" s="5" t="s">
        <v>136</v>
      </c>
      <c r="C85" s="20" t="n">
        <v>0</v>
      </c>
      <c r="D85" s="20" t="n">
        <v>0</v>
      </c>
      <c r="E85" s="20" t="n">
        <v>0</v>
      </c>
      <c r="G85" s="21" t="n">
        <f aca="false">IF(C$93=0,0,C85/C$93)</f>
        <v>0</v>
      </c>
      <c r="H85" s="21" t="n">
        <f aca="false">IF(D$93=0,0,D85/D$93)</f>
        <v>0</v>
      </c>
      <c r="I85" s="21" t="n">
        <f aca="false">IF(E$93=0,0,E85/E$93)</f>
        <v>0</v>
      </c>
    </row>
    <row r="86" customFormat="false" ht="15" hidden="false" customHeight="false" outlineLevel="0" collapsed="false">
      <c r="A86" s="5" t="s">
        <v>206</v>
      </c>
      <c r="B86" s="5" t="s">
        <v>136</v>
      </c>
      <c r="C86" s="20" t="n">
        <v>0</v>
      </c>
      <c r="D86" s="20" t="n">
        <v>0</v>
      </c>
      <c r="E86" s="20" t="n">
        <v>0</v>
      </c>
      <c r="G86" s="21" t="n">
        <f aca="false">IF(C$93=0,0,C86/C$93)</f>
        <v>0</v>
      </c>
      <c r="H86" s="21" t="n">
        <f aca="false">IF(D$93=0,0,D86/D$93)</f>
        <v>0</v>
      </c>
      <c r="I86" s="21" t="n">
        <f aca="false">IF(E$93=0,0,E86/E$93)</f>
        <v>0</v>
      </c>
    </row>
    <row r="87" customFormat="false" ht="15" hidden="false" customHeight="false" outlineLevel="0" collapsed="false">
      <c r="A87" s="5" t="s">
        <v>207</v>
      </c>
      <c r="B87" s="5" t="s">
        <v>136</v>
      </c>
      <c r="C87" s="20" t="n">
        <v>6</v>
      </c>
      <c r="D87" s="20" t="n">
        <v>0</v>
      </c>
      <c r="E87" s="20" t="n">
        <v>0</v>
      </c>
      <c r="G87" s="21" t="n">
        <f aca="false">IF(C$93=0,0,C87/C$93)</f>
        <v>0.00203665987780041</v>
      </c>
      <c r="H87" s="21" t="n">
        <f aca="false">IF(D$93=0,0,D87/D$93)</f>
        <v>0</v>
      </c>
      <c r="I87" s="21" t="n">
        <f aca="false">IF(E$93=0,0,E87/E$93)</f>
        <v>0</v>
      </c>
    </row>
    <row r="88" customFormat="false" ht="15" hidden="false" customHeight="false" outlineLevel="0" collapsed="false">
      <c r="A88" s="5" t="s">
        <v>208</v>
      </c>
      <c r="B88" s="5" t="s">
        <v>136</v>
      </c>
      <c r="C88" s="20" t="n">
        <v>40</v>
      </c>
      <c r="D88" s="20" t="n">
        <v>27</v>
      </c>
      <c r="E88" s="20" t="n">
        <v>1</v>
      </c>
      <c r="G88" s="21" t="n">
        <f aca="false">IF(C$93=0,0,C88/C$93)</f>
        <v>0.0135777325186694</v>
      </c>
      <c r="H88" s="21" t="n">
        <f aca="false">IF(D$93=0,0,D88/D$93)</f>
        <v>0.00552712384851587</v>
      </c>
      <c r="I88" s="21" t="n">
        <f aca="false">IF(E$93=0,0,E88/E$93)</f>
        <v>0.000420344682639765</v>
      </c>
    </row>
    <row r="89" customFormat="false" ht="15" hidden="false" customHeight="false" outlineLevel="0" collapsed="false">
      <c r="A89" s="5" t="s">
        <v>209</v>
      </c>
      <c r="B89" s="5" t="s">
        <v>136</v>
      </c>
      <c r="C89" s="20" t="n">
        <v>1942</v>
      </c>
      <c r="D89" s="20" t="n">
        <v>660</v>
      </c>
      <c r="E89" s="20" t="n">
        <v>1897</v>
      </c>
      <c r="G89" s="21" t="n">
        <f aca="false">IF(C$93=0,0,C89/C$93)</f>
        <v>0.659198913781399</v>
      </c>
      <c r="H89" s="21" t="n">
        <f aca="false">IF(D$93=0,0,D89/D$93)</f>
        <v>0.13510747185261</v>
      </c>
      <c r="I89" s="21" t="n">
        <f aca="false">IF(E$93=0,0,E89/E$93)</f>
        <v>0.797393862967634</v>
      </c>
    </row>
    <row r="90" customFormat="false" ht="15" hidden="false" customHeight="false" outlineLevel="0" collapsed="false">
      <c r="A90" s="5" t="s">
        <v>210</v>
      </c>
      <c r="B90" s="5" t="s">
        <v>136</v>
      </c>
      <c r="C90" s="20" t="n">
        <v>4</v>
      </c>
      <c r="D90" s="20" t="n">
        <v>3</v>
      </c>
      <c r="E90" s="20" t="n">
        <v>5</v>
      </c>
      <c r="G90" s="21" t="n">
        <f aca="false">IF(C$93=0,0,C90/C$93)</f>
        <v>0.00135777325186694</v>
      </c>
      <c r="H90" s="21" t="n">
        <f aca="false">IF(D$93=0,0,D90/D$93)</f>
        <v>0.000614124872057318</v>
      </c>
      <c r="I90" s="21" t="n">
        <f aca="false">IF(E$93=0,0,E90/E$93)</f>
        <v>0.00210172341319882</v>
      </c>
    </row>
    <row r="91" customFormat="false" ht="15" hidden="false" customHeight="false" outlineLevel="0" collapsed="false">
      <c r="A91" s="5" t="s">
        <v>211</v>
      </c>
      <c r="B91" s="5" t="s">
        <v>136</v>
      </c>
      <c r="C91" s="20" t="n">
        <v>941</v>
      </c>
      <c r="D91" s="20" t="n">
        <v>4194</v>
      </c>
      <c r="E91" s="20" t="n">
        <v>460</v>
      </c>
      <c r="G91" s="21" t="n">
        <f aca="false">IF(C$93=0,0,C91/C$93)</f>
        <v>0.319416157501697</v>
      </c>
      <c r="H91" s="21" t="n">
        <f aca="false">IF(D$93=0,0,D91/D$93)</f>
        <v>0.858546571136131</v>
      </c>
      <c r="I91" s="21" t="n">
        <f aca="false">IF(E$93=0,0,E91/E$93)</f>
        <v>0.193358554014292</v>
      </c>
    </row>
    <row r="92" customFormat="false" ht="15" hidden="false" customHeight="false" outlineLevel="0" collapsed="false">
      <c r="A92" s="3" t="s">
        <v>212</v>
      </c>
      <c r="C92" s="22" t="n">
        <f aca="false">SUM(C81:C91)</f>
        <v>2946</v>
      </c>
      <c r="D92" s="22" t="n">
        <f aca="false">SUM(D81:D91)</f>
        <v>4884</v>
      </c>
      <c r="E92" s="22" t="n">
        <f aca="false">SUM(E81:E91)</f>
        <v>2377</v>
      </c>
    </row>
    <row r="93" customFormat="false" ht="15" hidden="false" customHeight="false" outlineLevel="0" collapsed="false">
      <c r="A93" s="4" t="s">
        <v>213</v>
      </c>
      <c r="B93" s="5" t="s">
        <v>136</v>
      </c>
      <c r="C93" s="20" t="n">
        <v>2946</v>
      </c>
      <c r="D93" s="20" t="n">
        <v>4885</v>
      </c>
      <c r="E93" s="20" t="n">
        <v>2379</v>
      </c>
    </row>
    <row r="95" customFormat="false" ht="15" hidden="false" customHeight="false" outlineLevel="0" collapsed="false">
      <c r="A95" s="10" t="s">
        <v>223</v>
      </c>
      <c r="B95" s="11"/>
      <c r="C95" s="11"/>
      <c r="D95" s="11"/>
      <c r="E95" s="11"/>
      <c r="F95" s="11"/>
      <c r="G95" s="11"/>
      <c r="H95" s="11"/>
      <c r="I95" s="11"/>
    </row>
    <row r="96" customFormat="false" ht="15" hidden="false" customHeight="false" outlineLevel="0" collapsed="false">
      <c r="A96" s="5" t="s">
        <v>200</v>
      </c>
      <c r="B96" s="5" t="s">
        <v>103</v>
      </c>
      <c r="C96" s="20" t="n">
        <v>1</v>
      </c>
      <c r="D96" s="20" t="n">
        <v>0</v>
      </c>
      <c r="E96" s="20" t="n">
        <v>0</v>
      </c>
      <c r="G96" s="21" t="n">
        <f aca="false">IF(C$108=0,0,C96/C$108)</f>
        <v>6.103515625E-006</v>
      </c>
      <c r="H96" s="21" t="n">
        <f aca="false">IF(D$108=0,0,D96/D$108)</f>
        <v>0</v>
      </c>
      <c r="I96" s="21" t="n">
        <f aca="false">IF(E$108=0,0,E96/E$108)</f>
        <v>0</v>
      </c>
    </row>
    <row r="97" customFormat="false" ht="15" hidden="false" customHeight="false" outlineLevel="0" collapsed="false">
      <c r="A97" s="5" t="s">
        <v>202</v>
      </c>
      <c r="B97" s="5" t="s">
        <v>103</v>
      </c>
      <c r="C97" s="20" t="n">
        <v>38</v>
      </c>
      <c r="D97" s="20" t="n">
        <v>0</v>
      </c>
      <c r="E97" s="20" t="n">
        <v>54</v>
      </c>
      <c r="G97" s="21" t="n">
        <f aca="false">IF(C$108=0,0,C97/C$108)</f>
        <v>0.00023193359375</v>
      </c>
      <c r="H97" s="21" t="n">
        <f aca="false">IF(D$108=0,0,D97/D$108)</f>
        <v>0</v>
      </c>
      <c r="I97" s="21" t="n">
        <f aca="false">IF(E$108=0,0,E97/E$108)</f>
        <v>0.00013740388089628</v>
      </c>
    </row>
    <row r="98" customFormat="false" ht="15" hidden="false" customHeight="false" outlineLevel="0" collapsed="false">
      <c r="A98" s="5" t="s">
        <v>203</v>
      </c>
      <c r="B98" s="5" t="s">
        <v>103</v>
      </c>
      <c r="C98" s="20" t="n">
        <v>82261</v>
      </c>
      <c r="D98" s="20" t="n">
        <v>45273</v>
      </c>
      <c r="E98" s="20" t="n">
        <v>195829</v>
      </c>
      <c r="G98" s="21" t="n">
        <f aca="false">IF(C$108=0,0,C98/C$108)</f>
        <v>0.502081298828125</v>
      </c>
      <c r="H98" s="21" t="n">
        <f aca="false">IF(D$108=0,0,D98/D$108)</f>
        <v>0.391326896647103</v>
      </c>
      <c r="I98" s="21" t="n">
        <f aca="false">IF(E$108=0,0,E98/E$108)</f>
        <v>0.498290085037735</v>
      </c>
    </row>
    <row r="99" customFormat="false" ht="15" hidden="false" customHeight="false" outlineLevel="0" collapsed="false">
      <c r="A99" s="5" t="s">
        <v>204</v>
      </c>
      <c r="B99" s="5" t="s">
        <v>103</v>
      </c>
      <c r="C99" s="20" t="n">
        <v>1</v>
      </c>
      <c r="D99" s="20" t="n">
        <v>0</v>
      </c>
      <c r="E99" s="20" t="n">
        <v>1</v>
      </c>
      <c r="G99" s="21" t="n">
        <f aca="false">IF(C$108=0,0,C99/C$108)</f>
        <v>6.103515625E-006</v>
      </c>
      <c r="H99" s="21" t="n">
        <f aca="false">IF(D$108=0,0,D99/D$108)</f>
        <v>0</v>
      </c>
      <c r="I99" s="21" t="n">
        <f aca="false">IF(E$108=0,0,E99/E$108)</f>
        <v>2.54451631289408E-006</v>
      </c>
    </row>
    <row r="100" customFormat="false" ht="15" hidden="false" customHeight="false" outlineLevel="0" collapsed="false">
      <c r="A100" s="5" t="s">
        <v>205</v>
      </c>
      <c r="B100" s="5" t="s">
        <v>103</v>
      </c>
      <c r="C100" s="20" t="n">
        <v>0</v>
      </c>
      <c r="D100" s="20" t="n">
        <v>0</v>
      </c>
      <c r="E100" s="20" t="n">
        <v>0</v>
      </c>
      <c r="G100" s="21" t="n">
        <f aca="false">IF(C$108=0,0,C100/C$108)</f>
        <v>0</v>
      </c>
      <c r="H100" s="21" t="n">
        <f aca="false">IF(D$108=0,0,D100/D$108)</f>
        <v>0</v>
      </c>
      <c r="I100" s="21" t="n">
        <f aca="false">IF(E$108=0,0,E100/E$108)</f>
        <v>0</v>
      </c>
    </row>
    <row r="101" customFormat="false" ht="15" hidden="false" customHeight="false" outlineLevel="0" collapsed="false">
      <c r="A101" s="5" t="s">
        <v>206</v>
      </c>
      <c r="B101" s="5" t="s">
        <v>103</v>
      </c>
      <c r="C101" s="20" t="n">
        <v>0</v>
      </c>
      <c r="D101" s="20" t="n">
        <v>1</v>
      </c>
      <c r="E101" s="20" t="n">
        <v>0</v>
      </c>
      <c r="G101" s="21" t="n">
        <f aca="false">IF(C$108=0,0,C101/C$108)</f>
        <v>0</v>
      </c>
      <c r="H101" s="21" t="n">
        <f aca="false">IF(D$108=0,0,D101/D$108)</f>
        <v>8.64371472283929E-006</v>
      </c>
      <c r="I101" s="21" t="n">
        <f aca="false">IF(E$108=0,0,E101/E$108)</f>
        <v>0</v>
      </c>
    </row>
    <row r="102" customFormat="false" ht="15" hidden="false" customHeight="false" outlineLevel="0" collapsed="false">
      <c r="A102" s="5" t="s">
        <v>207</v>
      </c>
      <c r="B102" s="5" t="s">
        <v>103</v>
      </c>
      <c r="C102" s="20" t="n">
        <v>6</v>
      </c>
      <c r="D102" s="20" t="n">
        <v>5</v>
      </c>
      <c r="E102" s="20" t="n">
        <v>0</v>
      </c>
      <c r="G102" s="21" t="n">
        <f aca="false">IF(C$108=0,0,C102/C$108)</f>
        <v>3.662109375E-005</v>
      </c>
      <c r="H102" s="21" t="n">
        <f aca="false">IF(D$108=0,0,D102/D$108)</f>
        <v>4.32185736141964E-005</v>
      </c>
      <c r="I102" s="21" t="n">
        <f aca="false">IF(E$108=0,0,E102/E$108)</f>
        <v>0</v>
      </c>
    </row>
    <row r="103" customFormat="false" ht="15" hidden="false" customHeight="false" outlineLevel="0" collapsed="false">
      <c r="A103" s="5" t="s">
        <v>208</v>
      </c>
      <c r="B103" s="5" t="s">
        <v>103</v>
      </c>
      <c r="C103" s="20" t="n">
        <v>148</v>
      </c>
      <c r="D103" s="20" t="n">
        <v>100</v>
      </c>
      <c r="E103" s="20" t="n">
        <v>4</v>
      </c>
      <c r="G103" s="21" t="n">
        <f aca="false">IF(C$108=0,0,C103/C$108)</f>
        <v>0.0009033203125</v>
      </c>
      <c r="H103" s="21" t="n">
        <f aca="false">IF(D$108=0,0,D103/D$108)</f>
        <v>0.000864371472283929</v>
      </c>
      <c r="I103" s="21" t="n">
        <f aca="false">IF(E$108=0,0,E103/E$108)</f>
        <v>1.01780652515763E-005</v>
      </c>
    </row>
    <row r="104" customFormat="false" ht="15" hidden="false" customHeight="false" outlineLevel="0" collapsed="false">
      <c r="A104" s="5" t="s">
        <v>209</v>
      </c>
      <c r="B104" s="5" t="s">
        <v>103</v>
      </c>
      <c r="C104" s="20" t="n">
        <v>47</v>
      </c>
      <c r="D104" s="20" t="n">
        <v>14</v>
      </c>
      <c r="E104" s="20" t="n">
        <v>44</v>
      </c>
      <c r="G104" s="21" t="n">
        <f aca="false">IF(C$108=0,0,C104/C$108)</f>
        <v>0.000286865234375</v>
      </c>
      <c r="H104" s="21" t="n">
        <f aca="false">IF(D$108=0,0,D104/D$108)</f>
        <v>0.00012101200611975</v>
      </c>
      <c r="I104" s="21" t="n">
        <f aca="false">IF(E$108=0,0,E104/E$108)</f>
        <v>0.00011195871776734</v>
      </c>
    </row>
    <row r="105" customFormat="false" ht="15" hidden="false" customHeight="false" outlineLevel="0" collapsed="false">
      <c r="A105" s="5" t="s">
        <v>210</v>
      </c>
      <c r="B105" s="5" t="s">
        <v>103</v>
      </c>
      <c r="C105" s="20" t="n">
        <v>3</v>
      </c>
      <c r="D105" s="20" t="n">
        <v>2</v>
      </c>
      <c r="E105" s="20" t="n">
        <v>3</v>
      </c>
      <c r="G105" s="21" t="n">
        <f aca="false">IF(C$108=0,0,C105/C$108)</f>
        <v>1.8310546875E-005</v>
      </c>
      <c r="H105" s="21" t="n">
        <f aca="false">IF(D$108=0,0,D105/D$108)</f>
        <v>1.72874294456786E-005</v>
      </c>
      <c r="I105" s="21" t="n">
        <f aca="false">IF(E$108=0,0,E105/E$108)</f>
        <v>7.63354893868225E-006</v>
      </c>
    </row>
    <row r="106" customFormat="false" ht="15" hidden="false" customHeight="false" outlineLevel="0" collapsed="false">
      <c r="A106" s="5" t="s">
        <v>211</v>
      </c>
      <c r="B106" s="5" t="s">
        <v>103</v>
      </c>
      <c r="C106" s="20" t="n">
        <v>81336</v>
      </c>
      <c r="D106" s="20" t="n">
        <v>70297</v>
      </c>
      <c r="E106" s="20" t="n">
        <v>197067</v>
      </c>
      <c r="G106" s="21" t="n">
        <f aca="false">IF(C$108=0,0,C106/C$108)</f>
        <v>0.496435546875</v>
      </c>
      <c r="H106" s="21" t="n">
        <f aca="false">IF(D$108=0,0,D106/D$108)</f>
        <v>0.607627213871433</v>
      </c>
      <c r="I106" s="21" t="n">
        <f aca="false">IF(E$108=0,0,E106/E$108)</f>
        <v>0.501440196233098</v>
      </c>
    </row>
    <row r="107" customFormat="false" ht="15" hidden="false" customHeight="false" outlineLevel="0" collapsed="false">
      <c r="A107" s="3" t="s">
        <v>212</v>
      </c>
      <c r="C107" s="22" t="n">
        <f aca="false">SUM(C96:C106)</f>
        <v>163841</v>
      </c>
      <c r="D107" s="22" t="n">
        <f aca="false">SUM(D96:D106)</f>
        <v>115692</v>
      </c>
      <c r="E107" s="22" t="n">
        <f aca="false">SUM(E96:E106)</f>
        <v>393002</v>
      </c>
    </row>
    <row r="108" customFormat="false" ht="15" hidden="false" customHeight="false" outlineLevel="0" collapsed="false">
      <c r="A108" s="4" t="s">
        <v>213</v>
      </c>
      <c r="B108" s="5" t="s">
        <v>103</v>
      </c>
      <c r="C108" s="20" t="n">
        <v>163840</v>
      </c>
      <c r="D108" s="20" t="n">
        <v>115691</v>
      </c>
      <c r="E108" s="20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3"/>
    <col collapsed="false" customWidth="true" hidden="false" outlineLevel="0" max="5" min="3" style="1" width="22"/>
    <col collapsed="false" customWidth="true" hidden="false" outlineLevel="0" max="7" min="6" style="1" width="15"/>
    <col collapsed="false" customWidth="true" hidden="false" outlineLevel="0" max="8" min="8" style="1" width="30"/>
  </cols>
  <sheetData>
    <row r="1" customFormat="false" ht="17.35" hidden="false" customHeight="false" outlineLevel="0" collapsed="false">
      <c r="A1" s="2" t="s">
        <v>224</v>
      </c>
    </row>
    <row r="2" customFormat="false" ht="15" hidden="false" customHeight="false" outlineLevel="0" collapsed="false">
      <c r="A2" s="3" t="s">
        <v>28</v>
      </c>
    </row>
    <row r="4" customFormat="false" ht="26.85" hidden="false" customHeight="false" outlineLevel="0" collapsed="false">
      <c r="A4" s="6" t="s">
        <v>225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226</v>
      </c>
      <c r="G4" s="6" t="s">
        <v>227</v>
      </c>
      <c r="H4" s="6" t="s">
        <v>228</v>
      </c>
    </row>
    <row r="5" customFormat="false" ht="15" hidden="false" customHeight="false" outlineLevel="0" collapsed="false">
      <c r="A5" s="5" t="s">
        <v>229</v>
      </c>
      <c r="B5" s="5" t="s">
        <v>201</v>
      </c>
      <c r="C5" s="22" t="n">
        <f aca="false">'LCIA (Annex 1)'!C18</f>
        <v>2801</v>
      </c>
      <c r="D5" s="22" t="n">
        <f aca="false">'LCIA (Annex 1)'!D18</f>
        <v>1255</v>
      </c>
      <c r="E5" s="22" t="n">
        <f aca="false">'LCIA (Annex 1)'!E18</f>
        <v>2836</v>
      </c>
      <c r="F5" s="23" t="n">
        <f aca="false">C5/E5-1</f>
        <v>-0.0123413258110014</v>
      </c>
      <c r="G5" s="23" t="n">
        <f aca="false">D5/E5-1</f>
        <v>-0.557475317348378</v>
      </c>
      <c r="H5" s="13" t="str">
        <f aca="false">INDEX($C$4:$E$4,MATCH(MIN(C5:E5),C5:E5,0))</f>
        <v>Semi-extensive pond IMTA</v>
      </c>
    </row>
    <row r="6" customFormat="false" ht="15" hidden="false" customHeight="false" outlineLevel="0" collapsed="false">
      <c r="A6" s="5" t="s">
        <v>230</v>
      </c>
      <c r="B6" s="5" t="s">
        <v>215</v>
      </c>
      <c r="C6" s="22" t="n">
        <f aca="false">'LCIA (Annex 1)'!C33</f>
        <v>90127</v>
      </c>
      <c r="D6" s="22" t="n">
        <f aca="false">'LCIA (Annex 1)'!D33</f>
        <v>19097</v>
      </c>
      <c r="E6" s="22" t="n">
        <f aca="false">'LCIA (Annex 1)'!E33</f>
        <v>99897</v>
      </c>
      <c r="F6" s="23" t="n">
        <f aca="false">C6/E6-1</f>
        <v>-0.0978007347567995</v>
      </c>
      <c r="G6" s="23" t="n">
        <f aca="false">D6/E6-1</f>
        <v>-0.808833098091034</v>
      </c>
      <c r="H6" s="13" t="str">
        <f aca="false">INDEX($C$4:$E$4,MATCH(MIN(C6:E6),C6:E6,0))</f>
        <v>Semi-extensive pond IMTA</v>
      </c>
    </row>
    <row r="7" customFormat="false" ht="15" hidden="false" customHeight="false" outlineLevel="0" collapsed="false">
      <c r="A7" s="5" t="s">
        <v>231</v>
      </c>
      <c r="B7" s="5" t="s">
        <v>217</v>
      </c>
      <c r="C7" s="22" t="n">
        <f aca="false">'LCIA (Annex 1)'!C48</f>
        <v>10478</v>
      </c>
      <c r="D7" s="22" t="n">
        <f aca="false">'LCIA (Annex 1)'!D48</f>
        <v>4402</v>
      </c>
      <c r="E7" s="22" t="n">
        <f aca="false">'LCIA (Annex 1)'!E48</f>
        <v>12358</v>
      </c>
      <c r="F7" s="23" t="n">
        <f aca="false">C7/E7-1</f>
        <v>-0.152128176080272</v>
      </c>
      <c r="G7" s="23" t="n">
        <f aca="false">D7/E7-1</f>
        <v>-0.643793494092895</v>
      </c>
      <c r="H7" s="13" t="str">
        <f aca="false">INDEX($C$4:$E$4,MATCH(MIN(C7:E7),C7:E7,0))</f>
        <v>Semi-extensive pond IMTA</v>
      </c>
    </row>
    <row r="8" customFormat="false" ht="15" hidden="false" customHeight="false" outlineLevel="0" collapsed="false">
      <c r="A8" s="5" t="s">
        <v>232</v>
      </c>
      <c r="B8" s="5" t="s">
        <v>219</v>
      </c>
      <c r="C8" s="22" t="n">
        <f aca="false">'LCIA (Annex 1)'!C63</f>
        <v>42</v>
      </c>
      <c r="D8" s="22" t="n">
        <f aca="false">'LCIA (Annex 1)'!D63</f>
        <v>6</v>
      </c>
      <c r="E8" s="22" t="n">
        <f aca="false">'LCIA (Annex 1)'!E63</f>
        <v>45</v>
      </c>
      <c r="F8" s="23" t="n">
        <f aca="false">C8/E8-1</f>
        <v>-0.0666666666666667</v>
      </c>
      <c r="G8" s="23" t="n">
        <f aca="false">D8/E8-1</f>
        <v>-0.866666666666667</v>
      </c>
      <c r="H8" s="13" t="str">
        <f aca="false">INDEX($C$4:$E$4,MATCH(MIN(C8:E8),C8:E8,0))</f>
        <v>Semi-extensive pond IMTA</v>
      </c>
    </row>
    <row r="9" customFormat="false" ht="15" hidden="false" customHeight="false" outlineLevel="0" collapsed="false">
      <c r="A9" s="5" t="s">
        <v>233</v>
      </c>
      <c r="B9" s="5" t="s">
        <v>221</v>
      </c>
      <c r="C9" s="22" t="n">
        <f aca="false">'LCIA (Annex 1)'!C78</f>
        <v>26</v>
      </c>
      <c r="D9" s="22" t="n">
        <f aca="false">'LCIA (Annex 1)'!D78</f>
        <v>2</v>
      </c>
      <c r="E9" s="22" t="n">
        <f aca="false">'LCIA (Annex 1)'!E78</f>
        <v>61</v>
      </c>
      <c r="F9" s="23" t="n">
        <f aca="false">C9/E9-1</f>
        <v>-0.573770491803279</v>
      </c>
      <c r="G9" s="23" t="n">
        <f aca="false">D9/E9-1</f>
        <v>-0.967213114754098</v>
      </c>
      <c r="H9" s="13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5" t="s">
        <v>234</v>
      </c>
      <c r="B10" s="5" t="s">
        <v>136</v>
      </c>
      <c r="C10" s="22" t="n">
        <f aca="false">'LCIA (Annex 1)'!C93</f>
        <v>2946</v>
      </c>
      <c r="D10" s="22" t="n">
        <f aca="false">'LCIA (Annex 1)'!D93</f>
        <v>4885</v>
      </c>
      <c r="E10" s="22" t="n">
        <f aca="false">'LCIA (Annex 1)'!E93</f>
        <v>2379</v>
      </c>
      <c r="F10" s="23" t="n">
        <f aca="false">C10/E10-1</f>
        <v>0.238335435056747</v>
      </c>
      <c r="G10" s="23" t="n">
        <f aca="false">D10/E10-1</f>
        <v>1.05338377469525</v>
      </c>
      <c r="H10" s="13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5" t="s">
        <v>235</v>
      </c>
      <c r="B11" s="5" t="s">
        <v>103</v>
      </c>
      <c r="C11" s="22" t="n">
        <f aca="false">'LCIA (Annex 1)'!C108</f>
        <v>163840</v>
      </c>
      <c r="D11" s="22" t="n">
        <f aca="false">'LCIA (Annex 1)'!D108</f>
        <v>115691</v>
      </c>
      <c r="E11" s="22" t="n">
        <f aca="false">'LCIA (Annex 1)'!E108</f>
        <v>393002</v>
      </c>
      <c r="F11" s="23" t="n">
        <f aca="false">C11/E11-1</f>
        <v>-0.583106447295434</v>
      </c>
      <c r="G11" s="23" t="n">
        <f aca="false">D11/E11-1</f>
        <v>-0.705622363244971</v>
      </c>
      <c r="H11" s="13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10" t="s">
        <v>236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6" t="s">
        <v>237</v>
      </c>
      <c r="B15" s="6" t="s">
        <v>92</v>
      </c>
      <c r="C15" s="6" t="s">
        <v>93</v>
      </c>
      <c r="D15" s="6" t="s">
        <v>94</v>
      </c>
      <c r="E15" s="6" t="s">
        <v>95</v>
      </c>
    </row>
    <row r="16" customFormat="false" ht="15" hidden="false" customHeight="false" outlineLevel="0" collapsed="false">
      <c r="A16" s="5" t="s">
        <v>238</v>
      </c>
      <c r="B16" s="5" t="s">
        <v>239</v>
      </c>
      <c r="C16" s="24" t="n">
        <f aca="false">'LCIA (Annex 1)'!C14/'LCI per tonne'!C9</f>
        <v>1.00832680084746</v>
      </c>
      <c r="D16" s="24" t="n">
        <f aca="false">'LCIA (Annex 1)'!D14/'LCI per tonne'!D9</f>
        <v>1.30951685393258</v>
      </c>
      <c r="E16" s="24" t="n">
        <f aca="false">'LCIA (Annex 1)'!E14/'LCI per tonne'!E9</f>
        <v>1.0473440546697</v>
      </c>
    </row>
    <row r="17" customFormat="false" ht="15" hidden="false" customHeight="false" outlineLevel="0" collapsed="false">
      <c r="A17" s="5" t="s">
        <v>240</v>
      </c>
      <c r="B17" s="5" t="s">
        <v>241</v>
      </c>
      <c r="C17" s="24" t="n">
        <f aca="false">'LCIA (Annex 1)'!C29/'LCI per tonne'!C9</f>
        <v>13.6882478813559</v>
      </c>
      <c r="D17" s="24" t="n">
        <f aca="false">'LCIA (Annex 1)'!D29/'LCI per tonne'!D9</f>
        <v>14.1134831460674</v>
      </c>
      <c r="E17" s="24" t="n">
        <f aca="false">'LCIA (Annex 1)'!E29/'LCI per tonne'!E9</f>
        <v>14.0829471526196</v>
      </c>
    </row>
    <row r="18" customFormat="false" ht="15" hidden="false" customHeight="false" outlineLevel="0" collapsed="false">
      <c r="A18" s="5" t="s">
        <v>242</v>
      </c>
      <c r="B18" s="5" t="s">
        <v>243</v>
      </c>
      <c r="C18" s="24" t="n">
        <f aca="false">'LCIA (Annex 1)'!C44/'LCI per tonne'!C9</f>
        <v>6.78488718220339</v>
      </c>
      <c r="D18" s="24" t="n">
        <f aca="false">'LCIA (Annex 1)'!D44/'LCI per tonne'!D9</f>
        <v>7.79814606741573</v>
      </c>
      <c r="E18" s="24" t="n">
        <f aca="false">'LCIA (Annex 1)'!E44/'LCI per tonne'!E9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36"/>
    <col collapsed="false" customWidth="true" hidden="false" outlineLevel="0" max="4" min="4" style="1" width="13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9" min="7" style="1" width="14"/>
    <col collapsed="false" customWidth="true" hidden="false" outlineLevel="0" max="12" min="10" style="1" width="10"/>
    <col collapsed="false" customWidth="true" hidden="false" outlineLevel="0" max="13" min="13" style="1" width="52"/>
  </cols>
  <sheetData>
    <row r="1" customFormat="false" ht="17.35" hidden="false" customHeight="false" outlineLevel="0" collapsed="false">
      <c r="A1" s="2" t="s">
        <v>244</v>
      </c>
    </row>
    <row r="2" customFormat="false" ht="15" hidden="false" customHeight="false" outlineLevel="0" collapsed="false">
      <c r="A2" s="3" t="s">
        <v>28</v>
      </c>
    </row>
    <row r="5" customFormat="false" ht="15" hidden="false" customHeight="false" outlineLevel="0" collapsed="false">
      <c r="A5" s="4" t="s">
        <v>245</v>
      </c>
      <c r="F5" s="25" t="n">
        <v>0.1</v>
      </c>
      <c r="G5" s="3" t="s">
        <v>246</v>
      </c>
    </row>
    <row r="7" customFormat="false" ht="26.85" hidden="false" customHeight="false" outlineLevel="0" collapsed="false">
      <c r="A7" s="6" t="s">
        <v>247</v>
      </c>
      <c r="B7" s="6" t="s">
        <v>248</v>
      </c>
      <c r="C7" s="6" t="s">
        <v>249</v>
      </c>
      <c r="D7" s="6" t="s">
        <v>92</v>
      </c>
      <c r="E7" s="6" t="s">
        <v>250</v>
      </c>
      <c r="F7" s="6" t="s">
        <v>251</v>
      </c>
      <c r="G7" s="6" t="s">
        <v>252</v>
      </c>
      <c r="H7" s="6" t="s">
        <v>253</v>
      </c>
      <c r="I7" s="6" t="s">
        <v>254</v>
      </c>
      <c r="J7" s="6" t="s">
        <v>255</v>
      </c>
      <c r="K7" s="6" t="s">
        <v>256</v>
      </c>
      <c r="L7" s="6" t="s">
        <v>257</v>
      </c>
      <c r="M7" s="6" t="s">
        <v>258</v>
      </c>
    </row>
    <row r="8" customFormat="false" ht="15" hidden="false" customHeight="false" outlineLevel="0" collapsed="false">
      <c r="A8" s="26" t="s">
        <v>259</v>
      </c>
      <c r="B8" s="27" t="s">
        <v>260</v>
      </c>
      <c r="C8" s="27" t="s">
        <v>261</v>
      </c>
      <c r="D8" s="27" t="s">
        <v>262</v>
      </c>
      <c r="E8" s="27" t="s">
        <v>263</v>
      </c>
      <c r="F8" s="22" t="n">
        <f aca="false">'LCIA (Annex 1)'!E18*(1-$F$5)</f>
        <v>2552.4</v>
      </c>
      <c r="G8" s="28" t="n">
        <f aca="false">'LCIA (Annex 1)'!C18</f>
        <v>2801</v>
      </c>
      <c r="H8" s="28" t="n">
        <f aca="false">'LCIA (Annex 1)'!D18</f>
        <v>1255</v>
      </c>
      <c r="I8" s="28" t="n">
        <f aca="false">'LCIA (Annex 1)'!E18</f>
        <v>2836</v>
      </c>
      <c r="J8" s="29" t="str">
        <f aca="false">IF(G8&lt;=$F8,"✓","✗")</f>
        <v>✗</v>
      </c>
      <c r="K8" s="29" t="str">
        <f aca="false">IF(H8&lt;=$F8,"✓","✗")</f>
        <v>✓</v>
      </c>
      <c r="L8" s="29" t="s">
        <v>264</v>
      </c>
      <c r="M8" s="3" t="s">
        <v>265</v>
      </c>
    </row>
    <row r="9" customFormat="false" ht="15" hidden="false" customHeight="false" outlineLevel="0" collapsed="false">
      <c r="A9" s="26" t="s">
        <v>266</v>
      </c>
      <c r="B9" s="27" t="s">
        <v>260</v>
      </c>
      <c r="C9" s="27" t="s">
        <v>267</v>
      </c>
      <c r="D9" s="27" t="s">
        <v>268</v>
      </c>
      <c r="E9" s="27" t="s">
        <v>263</v>
      </c>
      <c r="F9" s="22" t="n">
        <f aca="false">'LCIA (Annex 1)'!E33*(1-$F$5)</f>
        <v>89907.3</v>
      </c>
      <c r="G9" s="28" t="n">
        <f aca="false">'LCIA (Annex 1)'!C33</f>
        <v>90127</v>
      </c>
      <c r="H9" s="28" t="n">
        <f aca="false">'LCIA (Annex 1)'!D33</f>
        <v>19097</v>
      </c>
      <c r="I9" s="28" t="n">
        <f aca="false">'LCIA (Annex 1)'!E33</f>
        <v>99897</v>
      </c>
      <c r="J9" s="29" t="str">
        <f aca="false">IF(G9&lt;=$F9,"✓","✗")</f>
        <v>✗</v>
      </c>
      <c r="K9" s="29" t="str">
        <f aca="false">IF(H9&lt;=$F9,"✓","✗")</f>
        <v>✓</v>
      </c>
      <c r="L9" s="29" t="s">
        <v>264</v>
      </c>
      <c r="M9" s="3" t="s">
        <v>265</v>
      </c>
    </row>
    <row r="10" customFormat="false" ht="15" hidden="false" customHeight="false" outlineLevel="0" collapsed="false">
      <c r="A10" s="26" t="s">
        <v>269</v>
      </c>
      <c r="B10" s="27" t="s">
        <v>260</v>
      </c>
      <c r="C10" s="27" t="s">
        <v>270</v>
      </c>
      <c r="D10" s="27" t="s">
        <v>271</v>
      </c>
      <c r="E10" s="27" t="s">
        <v>263</v>
      </c>
      <c r="F10" s="22" t="n">
        <f aca="false">'LCIA (Annex 1)'!E48*(1-$F$5)</f>
        <v>11122.2</v>
      </c>
      <c r="G10" s="28" t="n">
        <f aca="false">'LCIA (Annex 1)'!C48</f>
        <v>10478</v>
      </c>
      <c r="H10" s="28" t="n">
        <f aca="false">'LCIA (Annex 1)'!D48</f>
        <v>4402</v>
      </c>
      <c r="I10" s="28" t="n">
        <f aca="false">'LCIA (Annex 1)'!E48</f>
        <v>12358</v>
      </c>
      <c r="J10" s="29" t="str">
        <f aca="false">IF(G10&lt;=$F10,"✓","✗")</f>
        <v>✓</v>
      </c>
      <c r="K10" s="29" t="str">
        <f aca="false">IF(H10&lt;=$F10,"✓","✗")</f>
        <v>✓</v>
      </c>
      <c r="L10" s="29" t="s">
        <v>264</v>
      </c>
      <c r="M10" s="3" t="s">
        <v>265</v>
      </c>
    </row>
    <row r="11" customFormat="false" ht="15" hidden="false" customHeight="false" outlineLevel="0" collapsed="false">
      <c r="A11" s="26" t="s">
        <v>272</v>
      </c>
      <c r="B11" s="27" t="s">
        <v>260</v>
      </c>
      <c r="C11" s="27" t="s">
        <v>273</v>
      </c>
      <c r="D11" s="27" t="s">
        <v>274</v>
      </c>
      <c r="E11" s="27" t="s">
        <v>263</v>
      </c>
      <c r="F11" s="15" t="n">
        <f aca="false">'LCIA (Annex 1)'!E63*(1-$F$5)</f>
        <v>40.5</v>
      </c>
      <c r="G11" s="19" t="n">
        <f aca="false">'LCIA (Annex 1)'!C63</f>
        <v>42</v>
      </c>
      <c r="H11" s="19" t="n">
        <f aca="false">'LCIA (Annex 1)'!D63</f>
        <v>6</v>
      </c>
      <c r="I11" s="19" t="n">
        <f aca="false">'LCIA (Annex 1)'!E63</f>
        <v>45</v>
      </c>
      <c r="J11" s="29" t="str">
        <f aca="false">IF(G11&lt;=$F11,"✓","✗")</f>
        <v>✗</v>
      </c>
      <c r="K11" s="29" t="str">
        <f aca="false">IF(H11&lt;=$F11,"✓","✗")</f>
        <v>✓</v>
      </c>
      <c r="L11" s="29" t="s">
        <v>264</v>
      </c>
      <c r="M11" s="3" t="s">
        <v>265</v>
      </c>
    </row>
    <row r="12" customFormat="false" ht="15" hidden="false" customHeight="false" outlineLevel="0" collapsed="false">
      <c r="A12" s="26" t="s">
        <v>275</v>
      </c>
      <c r="B12" s="27" t="s">
        <v>260</v>
      </c>
      <c r="C12" s="27" t="s">
        <v>276</v>
      </c>
      <c r="D12" s="27" t="s">
        <v>277</v>
      </c>
      <c r="E12" s="27" t="s">
        <v>263</v>
      </c>
      <c r="F12" s="15" t="n">
        <f aca="false">'LCIA (Annex 1)'!E78*(1-$F$5)</f>
        <v>54.9</v>
      </c>
      <c r="G12" s="19" t="n">
        <f aca="false">'LCIA (Annex 1)'!C78</f>
        <v>26</v>
      </c>
      <c r="H12" s="19" t="n">
        <f aca="false">'LCIA (Annex 1)'!D78</f>
        <v>2</v>
      </c>
      <c r="I12" s="19" t="n">
        <f aca="false">'LCIA (Annex 1)'!E78</f>
        <v>61</v>
      </c>
      <c r="J12" s="29" t="str">
        <f aca="false">IF(G12&lt;=$F12,"✓","✗")</f>
        <v>✓</v>
      </c>
      <c r="K12" s="29" t="str">
        <f aca="false">IF(H12&lt;=$F12,"✓","✗")</f>
        <v>✓</v>
      </c>
      <c r="L12" s="29" t="s">
        <v>264</v>
      </c>
      <c r="M12" s="3" t="s">
        <v>265</v>
      </c>
    </row>
    <row r="13" customFormat="false" ht="15" hidden="false" customHeight="false" outlineLevel="0" collapsed="false">
      <c r="A13" s="26" t="s">
        <v>278</v>
      </c>
      <c r="B13" s="27" t="s">
        <v>260</v>
      </c>
      <c r="C13" s="27" t="s">
        <v>279</v>
      </c>
      <c r="D13" s="27" t="s">
        <v>280</v>
      </c>
      <c r="E13" s="27" t="s">
        <v>263</v>
      </c>
      <c r="F13" s="22" t="n">
        <f aca="false">'LCIA (Annex 1)'!E93*(1-$F$5)</f>
        <v>2141.1</v>
      </c>
      <c r="G13" s="28" t="n">
        <f aca="false">'LCIA (Annex 1)'!C93</f>
        <v>2946</v>
      </c>
      <c r="H13" s="28" t="n">
        <f aca="false">'LCIA (Annex 1)'!D93</f>
        <v>4885</v>
      </c>
      <c r="I13" s="28" t="n">
        <f aca="false">'LCIA (Annex 1)'!E93</f>
        <v>2379</v>
      </c>
      <c r="J13" s="29" t="str">
        <f aca="false">IF(G13&lt;=$F13,"✓","✗")</f>
        <v>✗</v>
      </c>
      <c r="K13" s="29" t="str">
        <f aca="false">IF(H13&lt;=$F13,"✓","✗")</f>
        <v>✗</v>
      </c>
      <c r="L13" s="29" t="s">
        <v>264</v>
      </c>
      <c r="M13" s="3" t="s">
        <v>265</v>
      </c>
    </row>
    <row r="14" customFormat="false" ht="15" hidden="false" customHeight="false" outlineLevel="0" collapsed="false">
      <c r="A14" s="26" t="s">
        <v>281</v>
      </c>
      <c r="B14" s="27" t="s">
        <v>260</v>
      </c>
      <c r="C14" s="27" t="s">
        <v>282</v>
      </c>
      <c r="D14" s="27" t="s">
        <v>283</v>
      </c>
      <c r="E14" s="27" t="s">
        <v>263</v>
      </c>
      <c r="F14" s="22" t="n">
        <f aca="false">'LCIA (Annex 1)'!E108*(1-$F$5)</f>
        <v>353701.8</v>
      </c>
      <c r="G14" s="28" t="n">
        <f aca="false">'LCIA (Annex 1)'!C108</f>
        <v>163840</v>
      </c>
      <c r="H14" s="28" t="n">
        <f aca="false">'LCIA (Annex 1)'!D108</f>
        <v>115691</v>
      </c>
      <c r="I14" s="28" t="n">
        <f aca="false">'LCIA (Annex 1)'!E108</f>
        <v>393002</v>
      </c>
      <c r="J14" s="29" t="str">
        <f aca="false">IF(G14&lt;=$F14,"✓","✗")</f>
        <v>✓</v>
      </c>
      <c r="K14" s="29" t="str">
        <f aca="false">IF(H14&lt;=$F14,"✓","✗")</f>
        <v>✓</v>
      </c>
      <c r="L14" s="29" t="s">
        <v>264</v>
      </c>
      <c r="M14" s="3" t="s">
        <v>265</v>
      </c>
    </row>
    <row r="15" customFormat="false" ht="15" hidden="false" customHeight="false" outlineLevel="0" collapsed="false">
      <c r="A15" s="26" t="s">
        <v>284</v>
      </c>
      <c r="B15" s="27" t="s">
        <v>285</v>
      </c>
      <c r="C15" s="27" t="s">
        <v>286</v>
      </c>
      <c r="D15" s="27" t="s">
        <v>110</v>
      </c>
      <c r="E15" s="27" t="s">
        <v>287</v>
      </c>
      <c r="F15" s="30" t="n">
        <v>0.35</v>
      </c>
      <c r="G15" s="18" t="n">
        <f aca="false">'Nutrient balance'!C13</f>
        <v>0.469758878127522</v>
      </c>
      <c r="H15" s="18" t="n">
        <f aca="false">'Nutrient balance'!D13</f>
        <v>1.1060393258427</v>
      </c>
      <c r="I15" s="18" t="n">
        <f aca="false">'Nutrient balance'!E13</f>
        <v>0.201757240481614</v>
      </c>
      <c r="J15" s="29" t="str">
        <f aca="false">IF(G15&gt;=$F15,"✓","✗")</f>
        <v>✓</v>
      </c>
      <c r="K15" s="29" t="str">
        <f aca="false">IF(H15&gt;=$F15,"✓","✗")</f>
        <v>✓</v>
      </c>
      <c r="L15" s="29" t="str">
        <f aca="false">IF(I15&gt;=$F15,"✓","✗")</f>
        <v>✗</v>
      </c>
      <c r="M15" s="3" t="s">
        <v>288</v>
      </c>
    </row>
    <row r="16" customFormat="false" ht="15" hidden="false" customHeight="false" outlineLevel="0" collapsed="false">
      <c r="A16" s="26" t="s">
        <v>289</v>
      </c>
      <c r="B16" s="27" t="s">
        <v>285</v>
      </c>
      <c r="C16" s="27" t="s">
        <v>290</v>
      </c>
      <c r="D16" s="27" t="s">
        <v>110</v>
      </c>
      <c r="E16" s="27" t="s">
        <v>287</v>
      </c>
      <c r="F16" s="30" t="n">
        <v>0.3</v>
      </c>
      <c r="G16" s="18" t="n">
        <f aca="false">'Nutrient balance'!C22</f>
        <v>0.3215799031477</v>
      </c>
      <c r="H16" s="18" t="n">
        <f aca="false">'Nutrient balance'!D22</f>
        <v>0.950734658599827</v>
      </c>
      <c r="I16" s="18" t="n">
        <f aca="false">'Nutrient balance'!E22</f>
        <v>0.162707452001302</v>
      </c>
      <c r="J16" s="29" t="str">
        <f aca="false">IF(G16&gt;=$F16,"✓","✗")</f>
        <v>✓</v>
      </c>
      <c r="K16" s="29" t="str">
        <f aca="false">IF(H16&gt;=$F16,"✓","✗")</f>
        <v>✓</v>
      </c>
      <c r="L16" s="29" t="str">
        <f aca="false">IF(I16&gt;=$F16,"✓","✗")</f>
        <v>✗</v>
      </c>
      <c r="M16" s="3" t="s">
        <v>291</v>
      </c>
    </row>
    <row r="17" customFormat="false" ht="15" hidden="false" customHeight="false" outlineLevel="0" collapsed="false">
      <c r="A17" s="26" t="s">
        <v>292</v>
      </c>
      <c r="B17" s="27" t="s">
        <v>285</v>
      </c>
      <c r="C17" s="27" t="s">
        <v>293</v>
      </c>
      <c r="D17" s="27" t="s">
        <v>294</v>
      </c>
      <c r="E17" s="27" t="s">
        <v>263</v>
      </c>
      <c r="F17" s="31" t="n">
        <v>60</v>
      </c>
      <c r="G17" s="19" t="n">
        <f aca="false">'Nutrient balance'!C14</f>
        <v>54.7384865744508</v>
      </c>
      <c r="H17" s="19" t="n">
        <f aca="false">'Nutrient balance'!D14</f>
        <v>-3.79874213836478</v>
      </c>
      <c r="I17" s="19" t="n">
        <f aca="false">'Nutrient balance'!E14</f>
        <v>95.9296072999837</v>
      </c>
      <c r="J17" s="29" t="str">
        <f aca="false">IF(G17&lt;=$F17,"✓","✗")</f>
        <v>✓</v>
      </c>
      <c r="K17" s="29" t="str">
        <f aca="false">IF(H17&lt;=$F17,"✓","✗")</f>
        <v>✓</v>
      </c>
      <c r="L17" s="29" t="str">
        <f aca="false">IF(I17&lt;=$F17,"✓","✗")</f>
        <v>✗</v>
      </c>
      <c r="M17" s="3" t="s">
        <v>295</v>
      </c>
    </row>
    <row r="18" customFormat="false" ht="15" hidden="false" customHeight="false" outlineLevel="0" collapsed="false">
      <c r="A18" s="26" t="s">
        <v>296</v>
      </c>
      <c r="B18" s="27" t="s">
        <v>285</v>
      </c>
      <c r="C18" s="27" t="s">
        <v>297</v>
      </c>
      <c r="D18" s="27" t="s">
        <v>131</v>
      </c>
      <c r="E18" s="27" t="s">
        <v>263</v>
      </c>
      <c r="F18" s="31" t="n">
        <v>1.75</v>
      </c>
      <c r="G18" s="19" t="n">
        <f aca="false">Inventory!C26</f>
        <v>1.7179253867152</v>
      </c>
      <c r="H18" s="19" t="n">
        <f aca="false">Inventory!D26</f>
        <v>1.36923076923077</v>
      </c>
      <c r="I18" s="19" t="n">
        <f aca="false">Inventory!E26</f>
        <v>1.78833306175656</v>
      </c>
      <c r="J18" s="29" t="str">
        <f aca="false">IF(G18&lt;=$F18,"✓","✗")</f>
        <v>✓</v>
      </c>
      <c r="K18" s="29" t="str">
        <f aca="false">IF(H18&lt;=$F18,"✓","✗")</f>
        <v>✓</v>
      </c>
      <c r="L18" s="29" t="str">
        <f aca="false">IF(I18&lt;=$F18,"✓","✗")</f>
        <v>✗</v>
      </c>
      <c r="M18" s="3" t="s">
        <v>298</v>
      </c>
    </row>
    <row r="19" customFormat="false" ht="15" hidden="false" customHeight="false" outlineLevel="0" collapsed="false">
      <c r="A19" s="26" t="s">
        <v>299</v>
      </c>
      <c r="B19" s="27" t="s">
        <v>285</v>
      </c>
      <c r="C19" s="27" t="s">
        <v>300</v>
      </c>
      <c r="D19" s="27" t="s">
        <v>110</v>
      </c>
      <c r="E19" s="27" t="s">
        <v>287</v>
      </c>
      <c r="F19" s="30" t="n">
        <v>0.5</v>
      </c>
      <c r="G19" s="18" t="n">
        <f aca="false">(Inventory!C19+Inventory!C20)/(Inventory!C18+Inventory!C19+Inventory!C20)</f>
        <v>0.551977170811252</v>
      </c>
      <c r="H19" s="18" t="n">
        <f aca="false">(Inventory!D19+Inventory!D20)/(Inventory!D18+Inventory!D19+Inventory!D20)</f>
        <v>0.998172052082455</v>
      </c>
      <c r="I19" s="18" t="n">
        <f aca="false">(Inventory!E19+Inventory!E20)/(Inventory!E18+Inventory!E19+Inventory!E20)</f>
        <v>0</v>
      </c>
      <c r="J19" s="29" t="str">
        <f aca="false">IF(G19&gt;=$F19,"✓","✗")</f>
        <v>✓</v>
      </c>
      <c r="K19" s="29" t="str">
        <f aca="false">IF(H19&gt;=$F19,"✓","✗")</f>
        <v>✓</v>
      </c>
      <c r="L19" s="29" t="str">
        <f aca="false">IF(I19&gt;=$F19,"✓","✗")</f>
        <v>✗</v>
      </c>
      <c r="M19" s="3" t="s">
        <v>301</v>
      </c>
    </row>
    <row r="20" customFormat="false" ht="15" hidden="false" customHeight="false" outlineLevel="0" collapsed="false">
      <c r="A20" s="26" t="s">
        <v>302</v>
      </c>
      <c r="B20" s="27" t="s">
        <v>285</v>
      </c>
      <c r="C20" s="27" t="s">
        <v>303</v>
      </c>
      <c r="D20" s="27" t="s">
        <v>110</v>
      </c>
      <c r="E20" s="27" t="s">
        <v>263</v>
      </c>
      <c r="F20" s="30" t="n">
        <v>0.6</v>
      </c>
      <c r="G20" s="18" t="n">
        <f aca="false">'LCIA (Annex 1)'!C14/'LCIA (Annex 1)'!C18</f>
        <v>0.553016779721528</v>
      </c>
      <c r="H20" s="18" t="n">
        <f aca="false">'LCIA (Annex 1)'!D14/'LCIA (Annex 1)'!D18</f>
        <v>0.58406374501992</v>
      </c>
      <c r="I20" s="18" t="n">
        <f aca="false">'LCIA (Annex 1)'!E14/'LCIA (Annex 1)'!E18</f>
        <v>0.660437235543018</v>
      </c>
      <c r="J20" s="29" t="str">
        <f aca="false">IF(G20&lt;=$F20,"✓","✗")</f>
        <v>✓</v>
      </c>
      <c r="K20" s="29" t="str">
        <f aca="false">IF(H20&lt;=$F20,"✓","✗")</f>
        <v>✓</v>
      </c>
      <c r="L20" s="29" t="str">
        <f aca="false">IF(I20&lt;=$F20,"✓","✗")</f>
        <v>✗</v>
      </c>
      <c r="M20" s="3" t="s">
        <v>304</v>
      </c>
    </row>
    <row r="22" customFormat="false" ht="15" hidden="false" customHeight="false" outlineLevel="0" collapsed="false">
      <c r="A22" s="32" t="s">
        <v>305</v>
      </c>
      <c r="J22" s="32" t="str">
        <f aca="false">COUNTIF(J8:J20,"✓")&amp;" / "&amp;COUNTA(J8:J20)</f>
        <v>9 / 13</v>
      </c>
      <c r="K22" s="32" t="str">
        <f aca="false">COUNTIF(K8:K20,"✓")&amp;" / "&amp;COUNTA(K8:K20)</f>
        <v>12 / 13</v>
      </c>
      <c r="L22" s="32" t="str">
        <f aca="false">COUNTIF(L8:L20,"✓")&amp;" / "&amp;COUNTA(L8:L20)</f>
        <v>0 / 13</v>
      </c>
    </row>
    <row r="24" customFormat="false" ht="15" hidden="false" customHeight="false" outlineLevel="0" collapsed="false">
      <c r="A24" s="3" t="s">
        <v>306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"/>
    <col collapsed="false" customWidth="true" hidden="false" outlineLevel="0" max="5" min="3" style="1" width="26"/>
  </cols>
  <sheetData>
    <row r="1" customFormat="false" ht="17.35" hidden="false" customHeight="false" outlineLevel="0" collapsed="false">
      <c r="A1" s="2" t="s">
        <v>307</v>
      </c>
    </row>
    <row r="2" customFormat="false" ht="15" hidden="false" customHeight="false" outlineLevel="0" collapsed="false">
      <c r="A2" s="3" t="s">
        <v>28</v>
      </c>
    </row>
    <row r="4" customFormat="false" ht="26.85" hidden="false" customHeight="false" outlineLevel="0" collapsed="false">
      <c r="A4" s="6"/>
      <c r="B4" s="6"/>
      <c r="C4" s="6" t="s">
        <v>93</v>
      </c>
      <c r="D4" s="6" t="s">
        <v>94</v>
      </c>
      <c r="E4" s="6" t="s">
        <v>95</v>
      </c>
    </row>
    <row r="5" customFormat="false" ht="15" hidden="false" customHeight="false" outlineLevel="0" collapsed="false">
      <c r="A5" s="4" t="s">
        <v>308</v>
      </c>
      <c r="C5" s="32" t="str">
        <f aca="false">'KPI framework'!J22</f>
        <v>9 / 13</v>
      </c>
      <c r="D5" s="32" t="str">
        <f aca="false">'KPI framework'!K22</f>
        <v>12 / 13</v>
      </c>
      <c r="E5" s="32" t="str">
        <f aca="false">'KPI framework'!L22</f>
        <v>0 / 13</v>
      </c>
    </row>
    <row r="6" customFormat="false" ht="15" hidden="false" customHeight="false" outlineLevel="0" collapsed="false">
      <c r="A6" s="4" t="s">
        <v>309</v>
      </c>
      <c r="C6" s="22" t="n">
        <f aca="false">Comparison!C5</f>
        <v>2801</v>
      </c>
      <c r="D6" s="22" t="n">
        <f aca="false">Comparison!D5</f>
        <v>1255</v>
      </c>
      <c r="E6" s="22" t="n">
        <f aca="false">Comparison!E5</f>
        <v>2836</v>
      </c>
    </row>
    <row r="7" customFormat="false" ht="15" hidden="false" customHeight="false" outlineLevel="0" collapsed="false">
      <c r="A7" s="4" t="s">
        <v>310</v>
      </c>
      <c r="C7" s="22" t="n">
        <f aca="false">Comparison!C9</f>
        <v>26</v>
      </c>
      <c r="D7" s="22" t="n">
        <f aca="false">Comparison!D9</f>
        <v>2</v>
      </c>
      <c r="E7" s="22" t="n">
        <f aca="false">Comparison!E9</f>
        <v>61</v>
      </c>
    </row>
    <row r="8" customFormat="false" ht="15" hidden="false" customHeight="false" outlineLevel="0" collapsed="false">
      <c r="A8" s="4" t="s">
        <v>311</v>
      </c>
      <c r="C8" s="22" t="n">
        <f aca="false">Comparison!C11</f>
        <v>163840</v>
      </c>
      <c r="D8" s="22" t="n">
        <f aca="false">Comparison!D11</f>
        <v>115691</v>
      </c>
      <c r="E8" s="22" t="n">
        <f aca="false">Comparison!E11</f>
        <v>393002</v>
      </c>
    </row>
    <row r="9" customFormat="false" ht="15" hidden="false" customHeight="false" outlineLevel="0" collapsed="false">
      <c r="A9" s="4" t="s">
        <v>312</v>
      </c>
      <c r="C9" s="22" t="n">
        <f aca="false">Comparison!C10</f>
        <v>2946</v>
      </c>
      <c r="D9" s="22" t="n">
        <f aca="false">Comparison!D10</f>
        <v>4885</v>
      </c>
      <c r="E9" s="22" t="n">
        <f aca="false">Comparison!E10</f>
        <v>2379</v>
      </c>
    </row>
    <row r="10" customFormat="false" ht="15" hidden="false" customHeight="false" outlineLevel="0" collapsed="false">
      <c r="A10" s="4" t="s">
        <v>286</v>
      </c>
      <c r="C10" s="33" t="n">
        <f aca="false">'Nutrient balance'!C13</f>
        <v>0.469758878127522</v>
      </c>
      <c r="D10" s="33" t="n">
        <f aca="false">'Nutrient balance'!D13</f>
        <v>1.1060393258427</v>
      </c>
      <c r="E10" s="33" t="n">
        <f aca="false">'Nutrient balance'!E13</f>
        <v>0.201757240481614</v>
      </c>
    </row>
    <row r="11" customFormat="false" ht="15" hidden="false" customHeight="false" outlineLevel="0" collapsed="false">
      <c r="A11" s="4" t="s">
        <v>313</v>
      </c>
      <c r="C11" s="34" t="n">
        <f aca="false">'Nutrient balance'!C14</f>
        <v>54.7384865744508</v>
      </c>
      <c r="D11" s="34" t="n">
        <f aca="false">'Nutrient balance'!D14</f>
        <v>-3.79874213836478</v>
      </c>
      <c r="E11" s="34" t="n">
        <f aca="false">'Nutrient balance'!E14</f>
        <v>95.9296072999837</v>
      </c>
    </row>
    <row r="15" customFormat="false" ht="15" hidden="false" customHeight="false" outlineLevel="0" collapsed="false">
      <c r="A15" s="10" t="s">
        <v>314</v>
      </c>
      <c r="B15" s="11"/>
      <c r="C15" s="11"/>
      <c r="D15" s="11"/>
      <c r="E15" s="11"/>
    </row>
    <row r="16" customFormat="false" ht="26.85" hidden="false" customHeight="false" outlineLevel="0" collapsed="false">
      <c r="A16" s="6" t="s">
        <v>195</v>
      </c>
      <c r="B16" s="6"/>
      <c r="C16" s="6" t="s">
        <v>93</v>
      </c>
      <c r="D16" s="6" t="s">
        <v>94</v>
      </c>
      <c r="E16" s="6" t="s">
        <v>95</v>
      </c>
    </row>
    <row r="17" customFormat="false" ht="15" hidden="false" customHeight="false" outlineLevel="0" collapsed="false">
      <c r="A17" s="5" t="s">
        <v>200</v>
      </c>
      <c r="C17" s="22" t="n">
        <f aca="false">'LCIA (Annex 1)'!C6</f>
        <v>137</v>
      </c>
      <c r="D17" s="22" t="n">
        <f aca="false">'LCIA (Annex 1)'!D6</f>
        <v>12</v>
      </c>
      <c r="E17" s="22" t="n">
        <f aca="false">'LCIA (Annex 1)'!E6</f>
        <v>13</v>
      </c>
    </row>
    <row r="18" customFormat="false" ht="15" hidden="false" customHeight="false" outlineLevel="0" collapsed="false">
      <c r="A18" s="5" t="s">
        <v>202</v>
      </c>
      <c r="C18" s="22" t="n">
        <f aca="false">'LCIA (Annex 1)'!C7</f>
        <v>330</v>
      </c>
      <c r="D18" s="22" t="n">
        <f aca="false">'LCIA (Annex 1)'!D7</f>
        <v>6</v>
      </c>
      <c r="E18" s="22" t="n">
        <f aca="false">'LCIA (Annex 1)'!E7</f>
        <v>474</v>
      </c>
    </row>
    <row r="19" customFormat="false" ht="15" hidden="false" customHeight="false" outlineLevel="0" collapsed="false">
      <c r="A19" s="5" t="s">
        <v>204</v>
      </c>
      <c r="C19" s="22" t="n">
        <f aca="false">'LCIA (Annex 1)'!C9</f>
        <v>32</v>
      </c>
      <c r="D19" s="22" t="n">
        <f aca="false">'LCIA (Annex 1)'!D9</f>
        <v>8</v>
      </c>
      <c r="E19" s="22" t="n">
        <f aca="false">'LCIA (Annex 1)'!E9</f>
        <v>80</v>
      </c>
    </row>
    <row r="20" customFormat="false" ht="15" hidden="false" customHeight="false" outlineLevel="0" collapsed="false">
      <c r="A20" s="5" t="s">
        <v>206</v>
      </c>
      <c r="C20" s="22" t="n">
        <f aca="false">'LCIA (Annex 1)'!C11</f>
        <v>0</v>
      </c>
      <c r="D20" s="22" t="n">
        <f aca="false">'LCIA (Annex 1)'!D11</f>
        <v>30</v>
      </c>
      <c r="E20" s="22" t="n">
        <f aca="false">'LCIA (Annex 1)'!E11</f>
        <v>0</v>
      </c>
    </row>
    <row r="21" customFormat="false" ht="15" hidden="false" customHeight="false" outlineLevel="0" collapsed="false">
      <c r="A21" s="5" t="s">
        <v>207</v>
      </c>
      <c r="C21" s="22" t="n">
        <f aca="false">'LCIA (Annex 1)'!C12</f>
        <v>386</v>
      </c>
      <c r="D21" s="22" t="n">
        <f aca="false">'LCIA (Annex 1)'!D12</f>
        <v>228</v>
      </c>
      <c r="E21" s="22" t="n">
        <f aca="false">'LCIA (Annex 1)'!E12</f>
        <v>15</v>
      </c>
    </row>
    <row r="22" customFormat="false" ht="15" hidden="false" customHeight="false" outlineLevel="0" collapsed="false">
      <c r="A22" s="5" t="s">
        <v>208</v>
      </c>
      <c r="C22" s="22" t="n">
        <f aca="false">'LCIA (Annex 1)'!C13</f>
        <v>43</v>
      </c>
      <c r="D22" s="22" t="n">
        <f aca="false">'LCIA (Annex 1)'!D13</f>
        <v>29</v>
      </c>
      <c r="E22" s="22" t="n">
        <f aca="false">'LCIA (Annex 1)'!E13</f>
        <v>1</v>
      </c>
    </row>
    <row r="23" customFormat="false" ht="15" hidden="false" customHeight="false" outlineLevel="0" collapsed="false">
      <c r="A23" s="5" t="s">
        <v>209</v>
      </c>
      <c r="C23" s="22" t="n">
        <f aca="false">'LCIA (Annex 1)'!C14</f>
        <v>1549</v>
      </c>
      <c r="D23" s="22" t="n">
        <f aca="false">'LCIA (Annex 1)'!D14</f>
        <v>733</v>
      </c>
      <c r="E23" s="22" t="n">
        <f aca="false">'LCIA (Annex 1)'!E14</f>
        <v>1873</v>
      </c>
    </row>
    <row r="24" customFormat="false" ht="15" hidden="false" customHeight="false" outlineLevel="0" collapsed="false">
      <c r="A24" s="5" t="s">
        <v>210</v>
      </c>
      <c r="C24" s="22" t="n">
        <f aca="false">'LCIA (Annex 1)'!C15</f>
        <v>325</v>
      </c>
      <c r="D24" s="22" t="n">
        <f aca="false">'LCIA (Annex 1)'!D15</f>
        <v>208</v>
      </c>
      <c r="E24" s="22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0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80"/>
  </cols>
  <sheetData>
    <row r="1" customFormat="false" ht="17.35" hidden="false" customHeight="false" outlineLevel="0" collapsed="false">
      <c r="A1" s="2" t="s">
        <v>315</v>
      </c>
    </row>
    <row r="2" customFormat="false" ht="15" hidden="false" customHeight="false" outlineLevel="0" collapsed="false">
      <c r="A2" s="3" t="s">
        <v>28</v>
      </c>
    </row>
    <row r="4" customFormat="false" ht="15" hidden="false" customHeight="false" outlineLevel="0" collapsed="false">
      <c r="A4" s="6" t="s">
        <v>316</v>
      </c>
      <c r="B4" s="6" t="s">
        <v>317</v>
      </c>
      <c r="C4" s="6" t="s">
        <v>318</v>
      </c>
      <c r="D4" s="6" t="s">
        <v>319</v>
      </c>
      <c r="E4" s="6" t="s">
        <v>320</v>
      </c>
      <c r="F4" s="6" t="s">
        <v>321</v>
      </c>
      <c r="G4" s="6" t="s">
        <v>322</v>
      </c>
    </row>
    <row r="5" customFormat="false" ht="15" hidden="false" customHeight="false" outlineLevel="0" collapsed="false">
      <c r="A5" s="5" t="s">
        <v>323</v>
      </c>
      <c r="B5" s="5" t="s">
        <v>324</v>
      </c>
      <c r="C5" s="31" t="n">
        <v>126.9</v>
      </c>
      <c r="D5" s="15" t="n">
        <f aca="false">'Nutrient balance'!C8</f>
        <v>126.8736</v>
      </c>
      <c r="E5" s="15" t="n">
        <f aca="false">D5-C5</f>
        <v>-0.0263999999999953</v>
      </c>
      <c r="F5" s="29" t="str">
        <f aca="false">IF(ABS(E5)&lt;=0.1,"✓","check")</f>
        <v>✓</v>
      </c>
      <c r="G5" s="3" t="s">
        <v>325</v>
      </c>
    </row>
    <row r="6" customFormat="false" ht="15" hidden="false" customHeight="false" outlineLevel="0" collapsed="false">
      <c r="A6" s="5" t="s">
        <v>326</v>
      </c>
      <c r="B6" s="5" t="s">
        <v>324</v>
      </c>
      <c r="C6" s="15" t="n">
        <f aca="false">'Nutrient balance'!C12</f>
        <v>67.2</v>
      </c>
      <c r="D6" s="15" t="n">
        <f aca="false">'Nutrient balance'!C11</f>
        <v>67.2736</v>
      </c>
      <c r="E6" s="15" t="n">
        <f aca="false">D6-C6</f>
        <v>0.0736000000000132</v>
      </c>
      <c r="F6" s="29" t="str">
        <f aca="false">IF(ABS(E6)&lt;=0.2,"✓","check")</f>
        <v>✓</v>
      </c>
      <c r="G6" s="3" t="s">
        <v>327</v>
      </c>
    </row>
    <row r="7" customFormat="false" ht="15" hidden="false" customHeight="false" outlineLevel="0" collapsed="false">
      <c r="A7" s="5" t="s">
        <v>328</v>
      </c>
      <c r="B7" s="5" t="s">
        <v>324</v>
      </c>
      <c r="C7" s="15" t="n">
        <f aca="false">'LCIA (Annex 1)'!C98</f>
        <v>82261</v>
      </c>
      <c r="D7" s="15" t="n">
        <f aca="false">'LCI per tonne'!C12</f>
        <v>82270.1383238405</v>
      </c>
      <c r="E7" s="15" t="n">
        <f aca="false">D7-C7</f>
        <v>9.13832384052512</v>
      </c>
      <c r="F7" s="29" t="str">
        <f aca="false">IF(ABS(E7)&lt;=0.01*ABS(C7),"✓","check")</f>
        <v>✓</v>
      </c>
      <c r="G7" s="3" t="s">
        <v>329</v>
      </c>
    </row>
    <row r="8" customFormat="false" ht="15" hidden="false" customHeight="false" outlineLevel="0" collapsed="false">
      <c r="A8" s="5" t="s">
        <v>330</v>
      </c>
      <c r="B8" s="5" t="s">
        <v>324</v>
      </c>
      <c r="C8" s="15" t="n">
        <f aca="false">Inventory!C21</f>
        <v>1.72</v>
      </c>
      <c r="D8" s="15" t="n">
        <f aca="false">Inventory!C26</f>
        <v>1.7179253867152</v>
      </c>
      <c r="E8" s="15" t="n">
        <f aca="false">D8-C8</f>
        <v>-0.00207461328480441</v>
      </c>
      <c r="F8" s="29" t="str">
        <f aca="false">IF(ABS(E8)&lt;=0.02,"✓","check")</f>
        <v>✓</v>
      </c>
      <c r="G8" s="3" t="s">
        <v>331</v>
      </c>
    </row>
    <row r="9" customFormat="false" ht="15" hidden="false" customHeight="false" outlineLevel="0" collapsed="false">
      <c r="A9" s="5" t="s">
        <v>332</v>
      </c>
      <c r="B9" s="5" t="s">
        <v>324</v>
      </c>
      <c r="C9" s="15" t="n">
        <f aca="false">'LCIA (Annex 1)'!C91</f>
        <v>941</v>
      </c>
      <c r="D9" s="15" t="n">
        <f aca="false">'LCI per tonne'!C13</f>
        <v>959.337204010426</v>
      </c>
      <c r="E9" s="15" t="n">
        <f aca="false">D9-C9</f>
        <v>18.3372040104262</v>
      </c>
      <c r="F9" s="29" t="str">
        <f aca="false">IF(ABS(E9)&lt;=0.05*ABS(C9),"✓","check")</f>
        <v>✓</v>
      </c>
      <c r="G9" s="3" t="s">
        <v>333</v>
      </c>
    </row>
    <row r="10" customFormat="false" ht="15" hidden="false" customHeight="false" outlineLevel="0" collapsed="false">
      <c r="A10" s="5" t="s">
        <v>323</v>
      </c>
      <c r="B10" s="5" t="s">
        <v>334</v>
      </c>
      <c r="C10" s="31" t="n">
        <v>5.7</v>
      </c>
      <c r="D10" s="15" t="n">
        <f aca="false">'Nutrient balance'!D8</f>
        <v>5.696</v>
      </c>
      <c r="E10" s="15" t="n">
        <f aca="false">D10-C10</f>
        <v>-0.00399999999999956</v>
      </c>
      <c r="F10" s="29" t="str">
        <f aca="false">IF(ABS(E10)&lt;=0.1,"✓","check")</f>
        <v>✓</v>
      </c>
      <c r="G10" s="3" t="s">
        <v>325</v>
      </c>
    </row>
    <row r="11" customFormat="false" ht="15" hidden="false" customHeight="false" outlineLevel="0" collapsed="false">
      <c r="A11" s="5" t="s">
        <v>326</v>
      </c>
      <c r="B11" s="5" t="s">
        <v>334</v>
      </c>
      <c r="C11" s="15" t="n">
        <f aca="false">'Nutrient balance'!D12</f>
        <v>-0.5</v>
      </c>
      <c r="D11" s="15" t="n">
        <f aca="false">'Nutrient balance'!D11</f>
        <v>-0.603999999999999</v>
      </c>
      <c r="E11" s="15" t="n">
        <f aca="false">D11-C11</f>
        <v>-0.103999999999999</v>
      </c>
      <c r="F11" s="29" t="str">
        <f aca="false">IF(ABS(E11)&lt;=0.2,"✓","check")</f>
        <v>✓</v>
      </c>
      <c r="G11" s="3" t="s">
        <v>327</v>
      </c>
    </row>
    <row r="12" customFormat="false" ht="15" hidden="false" customHeight="false" outlineLevel="0" collapsed="false">
      <c r="A12" s="5" t="s">
        <v>328</v>
      </c>
      <c r="B12" s="5" t="s">
        <v>334</v>
      </c>
      <c r="C12" s="15" t="n">
        <f aca="false">'LCIA (Annex 1)'!D98</f>
        <v>45273</v>
      </c>
      <c r="D12" s="15" t="n">
        <f aca="false">'LCI per tonne'!D12</f>
        <v>45188.679245283</v>
      </c>
      <c r="E12" s="15" t="n">
        <f aca="false">D12-C12</f>
        <v>-84.3207547169805</v>
      </c>
      <c r="F12" s="29" t="str">
        <f aca="false">IF(ABS(E12)&lt;=0.01*ABS(C12),"✓","check")</f>
        <v>✓</v>
      </c>
      <c r="G12" s="3" t="s">
        <v>329</v>
      </c>
    </row>
    <row r="13" customFormat="false" ht="15" hidden="false" customHeight="false" outlineLevel="0" collapsed="false">
      <c r="A13" s="5" t="s">
        <v>330</v>
      </c>
      <c r="B13" s="5" t="s">
        <v>334</v>
      </c>
      <c r="C13" s="15" t="n">
        <f aca="false">Inventory!D21</f>
        <v>0.56</v>
      </c>
      <c r="D13" s="15" t="n">
        <f aca="false">Inventory!D26</f>
        <v>1.36923076923077</v>
      </c>
      <c r="E13" s="15" t="n">
        <f aca="false">D13-C13</f>
        <v>0.809230769230769</v>
      </c>
      <c r="F13" s="29" t="str">
        <f aca="false">IF(ABS(E13)&lt;=0.02,"✓","check")</f>
        <v>check</v>
      </c>
      <c r="G13" s="3" t="s">
        <v>335</v>
      </c>
    </row>
    <row r="14" customFormat="false" ht="15" hidden="false" customHeight="false" outlineLevel="0" collapsed="false">
      <c r="A14" s="5" t="s">
        <v>332</v>
      </c>
      <c r="B14" s="5" t="s">
        <v>334</v>
      </c>
      <c r="C14" s="15" t="n">
        <f aca="false">'LCIA (Annex 1)'!D91</f>
        <v>4194</v>
      </c>
      <c r="D14" s="15" t="n">
        <f aca="false">'LCI per tonne'!D13</f>
        <v>4221.5998427673</v>
      </c>
      <c r="E14" s="15" t="n">
        <f aca="false">D14-C14</f>
        <v>27.5998427672957</v>
      </c>
      <c r="F14" s="29" t="str">
        <f aca="false">IF(ABS(E14)&lt;=0.05*ABS(C14),"✓","check")</f>
        <v>✓</v>
      </c>
      <c r="G14" s="3" t="s">
        <v>333</v>
      </c>
    </row>
    <row r="15" customFormat="false" ht="15" hidden="false" customHeight="false" outlineLevel="0" collapsed="false">
      <c r="A15" s="5" t="s">
        <v>323</v>
      </c>
      <c r="B15" s="5" t="s">
        <v>336</v>
      </c>
      <c r="C15" s="31" t="n">
        <v>737.5</v>
      </c>
      <c r="D15" s="15" t="n">
        <f aca="false">'Nutrient balance'!E8</f>
        <v>737.52</v>
      </c>
      <c r="E15" s="15" t="n">
        <f aca="false">D15-C15</f>
        <v>0.0199999999999818</v>
      </c>
      <c r="F15" s="29" t="str">
        <f aca="false">IF(ABS(E15)&lt;=0.1,"✓","check")</f>
        <v>✓</v>
      </c>
      <c r="G15" s="3" t="s">
        <v>325</v>
      </c>
    </row>
    <row r="16" customFormat="false" ht="15" hidden="false" customHeight="false" outlineLevel="0" collapsed="false">
      <c r="A16" s="5" t="s">
        <v>326</v>
      </c>
      <c r="B16" s="5" t="s">
        <v>336</v>
      </c>
      <c r="C16" s="15" t="n">
        <f aca="false">'Nutrient balance'!E12</f>
        <v>588.7</v>
      </c>
      <c r="D16" s="15" t="n">
        <f aca="false">'Nutrient balance'!E11</f>
        <v>588.72</v>
      </c>
      <c r="E16" s="15" t="n">
        <f aca="false">D16-C16</f>
        <v>0.0199999999999818</v>
      </c>
      <c r="F16" s="29" t="str">
        <f aca="false">IF(ABS(E16)&lt;=0.2,"✓","check")</f>
        <v>✓</v>
      </c>
      <c r="G16" s="3" t="s">
        <v>327</v>
      </c>
    </row>
    <row r="17" customFormat="false" ht="15" hidden="false" customHeight="false" outlineLevel="0" collapsed="false">
      <c r="A17" s="5" t="s">
        <v>328</v>
      </c>
      <c r="B17" s="5" t="s">
        <v>336</v>
      </c>
      <c r="C17" s="15" t="n">
        <f aca="false">'LCIA (Annex 1)'!E98</f>
        <v>195829</v>
      </c>
      <c r="D17" s="15" t="n">
        <f aca="false">'LCI per tonne'!E12</f>
        <v>195822.71468144</v>
      </c>
      <c r="E17" s="15" t="n">
        <f aca="false">D17-C17</f>
        <v>-6.28531855953042</v>
      </c>
      <c r="F17" s="29" t="str">
        <f aca="false">IF(ABS(E17)&lt;=0.01*ABS(C17),"✓","check")</f>
        <v>✓</v>
      </c>
      <c r="G17" s="3" t="s">
        <v>329</v>
      </c>
    </row>
    <row r="18" customFormat="false" ht="15" hidden="false" customHeight="false" outlineLevel="0" collapsed="false">
      <c r="A18" s="5" t="s">
        <v>330</v>
      </c>
      <c r="B18" s="5" t="s">
        <v>336</v>
      </c>
      <c r="C18" s="15" t="n">
        <f aca="false">Inventory!E21</f>
        <v>1.79</v>
      </c>
      <c r="D18" s="15" t="n">
        <f aca="false">Inventory!E26</f>
        <v>1.78833306175656</v>
      </c>
      <c r="E18" s="15" t="n">
        <f aca="false">D18-C18</f>
        <v>-0.00166693824344155</v>
      </c>
      <c r="F18" s="29" t="str">
        <f aca="false">IF(ABS(E18)&lt;=0.02,"✓","check")</f>
        <v>✓</v>
      </c>
      <c r="G18" s="3" t="s">
        <v>331</v>
      </c>
    </row>
    <row r="19" customFormat="false" ht="15" hidden="false" customHeight="false" outlineLevel="0" collapsed="false">
      <c r="A19" s="5" t="s">
        <v>332</v>
      </c>
      <c r="B19" s="5" t="s">
        <v>336</v>
      </c>
      <c r="C19" s="15" t="n">
        <f aca="false">'LCIA (Annex 1)'!E91</f>
        <v>460</v>
      </c>
      <c r="D19" s="15" t="n">
        <f aca="false">'LCI per tonne'!E13</f>
        <v>2288.83985163623</v>
      </c>
      <c r="E19" s="15" t="n">
        <f aca="false">D19-C19</f>
        <v>1828.83985163623</v>
      </c>
      <c r="F19" s="29" t="str">
        <f aca="false">IF(ABS(E19)&lt;=0.05*ABS(C19),"✓","check")</f>
        <v>check</v>
      </c>
      <c r="G19" s="3" t="s">
        <v>337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30"/>
  </cols>
  <sheetData>
    <row r="1" customFormat="false" ht="17.35" hidden="false" customHeight="false" outlineLevel="0" collapsed="false">
      <c r="A1" s="2" t="s">
        <v>338</v>
      </c>
    </row>
    <row r="2" customFormat="false" ht="15" hidden="false" customHeight="false" outlineLevel="0" collapsed="false">
      <c r="A2" s="3" t="s">
        <v>28</v>
      </c>
    </row>
    <row r="4" customFormat="false" ht="39.55" hidden="false" customHeight="false" outlineLevel="0" collapsed="false">
      <c r="A4" s="4" t="s">
        <v>339</v>
      </c>
      <c r="B4" s="35" t="s">
        <v>340</v>
      </c>
    </row>
    <row r="5" customFormat="false" ht="26.85" hidden="false" customHeight="false" outlineLevel="0" collapsed="false">
      <c r="A5" s="4" t="s">
        <v>341</v>
      </c>
      <c r="B5" s="35" t="s">
        <v>342</v>
      </c>
    </row>
    <row r="6" customFormat="false" ht="15" hidden="false" customHeight="false" outlineLevel="0" collapsed="false">
      <c r="A6" s="4" t="s">
        <v>47</v>
      </c>
      <c r="B6" s="35" t="s">
        <v>343</v>
      </c>
    </row>
    <row r="7" customFormat="false" ht="26.85" hidden="false" customHeight="false" outlineLevel="0" collapsed="false">
      <c r="A7" s="4" t="s">
        <v>344</v>
      </c>
      <c r="B7" s="35" t="s">
        <v>345</v>
      </c>
    </row>
    <row r="8" customFormat="false" ht="26.85" hidden="false" customHeight="false" outlineLevel="0" collapsed="false">
      <c r="A8" s="4" t="s">
        <v>50</v>
      </c>
      <c r="B8" s="35" t="s">
        <v>346</v>
      </c>
    </row>
    <row r="9" customFormat="false" ht="39.55" hidden="false" customHeight="false" outlineLevel="0" collapsed="false">
      <c r="A9" s="4" t="s">
        <v>347</v>
      </c>
      <c r="B9" s="35" t="s">
        <v>348</v>
      </c>
    </row>
    <row r="10" customFormat="false" ht="26.85" hidden="false" customHeight="false" outlineLevel="0" collapsed="false">
      <c r="A10" s="4" t="s">
        <v>349</v>
      </c>
      <c r="B10" s="35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2026-10-23T19:29:02Z</dcterms:created>
  <dc:creator>openpyxl</dc:creator>
  <dc:description/>
  <dc:language>en-US</dc:language>
  <cp:lastModifiedBy/>
  <dcterms:modified xsi:type="dcterms:W3CDTF">2026-10-23T21:29:34Z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