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I scenario B" sheetId="1" state="visible" r:id="rId3"/>
    <sheet name="Test - 1 kWh electric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<sst xmlns="http://schemas.openxmlformats.org/spreadsheetml/2006/main" count="116" uniqueCount="77">
  <si>
    <t xml:space="preserve">LCI to enter in openLCA (ecoinvent 3.7 cut-off) - IMTA farm, scenario B, 1 year</t>
  </si>
  <si>
    <t xml:space="preserve">Reference product: Sea bream, fresh, at farm gate = 40,000 kg. Activity data are illustrative assumptions. Choose each PROVIDER yourself - do not rely on auto-link.</t>
  </si>
  <si>
    <t xml:space="preserve">#</t>
  </si>
  <si>
    <t xml:space="preserve">Direction</t>
  </si>
  <si>
    <t xml:space="preserve">Flow to search in openLCA</t>
  </si>
  <si>
    <t xml:space="preserve">Amount</t>
  </si>
  <si>
    <t xml:space="preserve">Unit</t>
  </si>
  <si>
    <t xml:space="preserve">Provider to select (ecoinvent 3.7)</t>
  </si>
  <si>
    <t xml:space="preserve">Location</t>
  </si>
  <si>
    <t xml:space="preserve">Check ✓</t>
  </si>
  <si>
    <t xml:space="preserve">OUTPUTS - products (create as new product flows, Mass, kg)</t>
  </si>
  <si>
    <t xml:space="preserve">Output</t>
  </si>
  <si>
    <t xml:space="preserve">Sea bream, fresh, at farm gate  (REFERENCE PRODUCT)</t>
  </si>
  <si>
    <t xml:space="preserve">kg</t>
  </si>
  <si>
    <t xml:space="preserve">- (your own product)</t>
  </si>
  <si>
    <t xml:space="preserve">PT</t>
  </si>
  <si>
    <t xml:space="preserve">Seaweed, fresh, at farm gate</t>
  </si>
  <si>
    <t xml:space="preserve">Mussels, fresh, at farm gate</t>
  </si>
  <si>
    <t xml:space="preserve">INPUTS - from ecoinvent (technosphere)</t>
  </si>
  <si>
    <t xml:space="preserve">Input</t>
  </si>
  <si>
    <t xml:space="preserve">fishmeal, 63-65% protein</t>
  </si>
  <si>
    <t xml:space="preserve">fishmeal and fish oil production</t>
  </si>
  <si>
    <t xml:space="preserve">PE</t>
  </si>
  <si>
    <t xml:space="preserve">fish oil, from anchovy</t>
  </si>
  <si>
    <t xml:space="preserve">market for fish oil</t>
  </si>
  <si>
    <t xml:space="preserve">GLO</t>
  </si>
  <si>
    <t xml:space="preserve">soybean meal</t>
  </si>
  <si>
    <t xml:space="preserve">market for soybean meal</t>
  </si>
  <si>
    <t xml:space="preserve">wheat grain, feed</t>
  </si>
  <si>
    <t xml:space="preserve">market for wheat grain, feed</t>
  </si>
  <si>
    <t xml:space="preserve">rape oil, crude</t>
  </si>
  <si>
    <t xml:space="preserve">market for rape oil, crude</t>
  </si>
  <si>
    <t xml:space="preserve">RoW</t>
  </si>
  <si>
    <t xml:space="preserve">electricity, low voltage</t>
  </si>
  <si>
    <t xml:space="preserve">kWh</t>
  </si>
  <si>
    <t xml:space="preserve">market for electricity, low voltage</t>
  </si>
  <si>
    <t xml:space="preserve">PT  (Portugal - NOT XK, CR or PT-30)</t>
  </si>
  <si>
    <t xml:space="preserve">diesel</t>
  </si>
  <si>
    <t xml:space="preserve">market for diesel</t>
  </si>
  <si>
    <t xml:space="preserve">Europe without Switzerland</t>
  </si>
  <si>
    <t xml:space="preserve">polypropylene, granulate</t>
  </si>
  <si>
    <t xml:space="preserve">market for polypropylene, granulate</t>
  </si>
  <si>
    <t xml:space="preserve">transport, freight, lorry 16-32 metric ton, EURO6</t>
  </si>
  <si>
    <t xml:space="preserve">t*km</t>
  </si>
  <si>
    <t xml:space="preserve">market for transport, freight, lorry 16-32 metric ton, EURO6</t>
  </si>
  <si>
    <t xml:space="preserve">RER</t>
  </si>
  <si>
    <t xml:space="preserve">OUTPUTS - emissions (elementary flows)</t>
  </si>
  <si>
    <t xml:space="preserve">Carbon dioxide, fossil</t>
  </si>
  <si>
    <t xml:space="preserve">- (elementary flow: Emission to air / unspecified)</t>
  </si>
  <si>
    <t xml:space="preserve">-</t>
  </si>
  <si>
    <t xml:space="preserve">Nitrogen</t>
  </si>
  <si>
    <t xml:space="preserve">- (elementary flow: Emission to water - pick the compartment that HAS a factor in EF 3.1 marine eutrophication)</t>
  </si>
  <si>
    <t xml:space="preserve">Phosphorus</t>
  </si>
  <si>
    <t xml:space="preserve">- (elementary flow: Emission to water / ocean)</t>
  </si>
  <si>
    <t xml:space="preserve">Allocation tab (economic, set as default):</t>
  </si>
  <si>
    <t xml:space="preserve">Sea bream</t>
  </si>
  <si>
    <t xml:space="preserve">Seaweed</t>
  </si>
  <si>
    <t xml:space="preserve">Mussels</t>
  </si>
  <si>
    <t xml:space="preserve">How to run:</t>
  </si>
  <si>
    <t xml:space="preserve">1. New process -&gt; reference product Sea bream (row 1). Add rows 2-15 in Inputs/Outputs.</t>
  </si>
  <si>
    <t xml:space="preserve">2. For every input row: double-click the PROVIDER cell and choose the provider + location from this table.</t>
  </si>
  <si>
    <t xml:space="preserve">3. Allocation tab: Economic, factors above. Save (Ctrl+S).</t>
  </si>
  <si>
    <t xml:space="preserve">4. Create product system: choose 'Prefer default providers' / do NOT let auto-link choose countries.</t>
  </si>
  <si>
    <t xml:space="preserve">5. Calculate: EF 3.1, Allocation = Economic. Result is for 40,000 kg sea bream - divide by 40,000 for per kg.</t>
  </si>
  <si>
    <t xml:space="preserve">Assumptions: feed 60 t (FCR 1.5) split 25/10/30/25/10; diesel 4,000 L x 0.84 = 3,360 kg; CO2 = 3,360 x 3.16; N and P from nutrient mass balance.</t>
  </si>
  <si>
    <t xml:space="preserve">Test: find the real impact factor of 1 kWh Portuguese electricity</t>
  </si>
  <si>
    <t xml:space="preserve">Step</t>
  </si>
  <si>
    <t xml:space="preserve">What to do in openLCA</t>
  </si>
  <si>
    <t xml:space="preserve">Write your result here (kg CO2-eq)</t>
  </si>
  <si>
    <t xml:space="preserve">What it proves</t>
  </si>
  <si>
    <t xml:space="preserve">Product system from 'market for electricity, low voltage' with location PT. Calculate, EF 3.1, read Climate change.</t>
  </si>
  <si>
    <t xml:space="preserve">This number = the impact factor X</t>
  </si>
  <si>
    <t xml:space="preserve">Same product system, change target amount to 10. Calculate again.</t>
  </si>
  <si>
    <t xml:space="preserve">Should be exactly 10 x X (linear)</t>
  </si>
  <si>
    <t xml:space="preserve">Expected electricity contribution in the farm (economic allocation)</t>
  </si>
  <si>
    <t xml:space="preserve">Compare with the electricity contribution in your farm result</t>
  </si>
  <si>
    <t xml:space="preserve">Check: E5 / E4 should be 10.0 -&gt;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</si>
</sst>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52"/>
    <col collapsed="false" customWidth="true" hidden="false" outlineLevel="0" max="7" min="7" style="0" width="32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/>
      <c r="C5" s="5"/>
      <c r="D5" s="5"/>
      <c r="E5" s="5"/>
      <c r="F5" s="5"/>
      <c r="G5" s="5"/>
      <c r="H5" s="5"/>
    </row>
    <row r="6" customFormat="false" ht="26.85" hidden="false" customHeight="false" outlineLevel="0" collapsed="false">
      <c r="A6" s="6" t="n">
        <v>1</v>
      </c>
      <c r="B6" s="6" t="s">
        <v>11</v>
      </c>
      <c r="C6" s="7" t="s">
        <v>12</v>
      </c>
      <c r="D6" s="8" t="n">
        <v>40000</v>
      </c>
      <c r="E6" s="6" t="s">
        <v>13</v>
      </c>
      <c r="F6" s="6" t="s">
        <v>14</v>
      </c>
      <c r="G6" s="6" t="s">
        <v>15</v>
      </c>
      <c r="H6" s="9"/>
    </row>
    <row r="7" customFormat="false" ht="15" hidden="false" customHeight="false" outlineLevel="0" collapsed="false">
      <c r="A7" s="6" t="n">
        <v>2</v>
      </c>
      <c r="B7" s="6" t="s">
        <v>11</v>
      </c>
      <c r="C7" s="6" t="s">
        <v>16</v>
      </c>
      <c r="D7" s="8" t="n">
        <v>50000</v>
      </c>
      <c r="E7" s="6" t="s">
        <v>13</v>
      </c>
      <c r="F7" s="6" t="s">
        <v>14</v>
      </c>
      <c r="G7" s="6" t="s">
        <v>15</v>
      </c>
      <c r="H7" s="9"/>
    </row>
    <row r="8" customFormat="false" ht="15" hidden="false" customHeight="false" outlineLevel="0" collapsed="false">
      <c r="A8" s="6" t="n">
        <v>3</v>
      </c>
      <c r="B8" s="6" t="s">
        <v>11</v>
      </c>
      <c r="C8" s="6" t="s">
        <v>17</v>
      </c>
      <c r="D8" s="8" t="n">
        <v>25000</v>
      </c>
      <c r="E8" s="6" t="s">
        <v>13</v>
      </c>
      <c r="F8" s="6" t="s">
        <v>14</v>
      </c>
      <c r="G8" s="6" t="s">
        <v>15</v>
      </c>
      <c r="H8" s="9"/>
    </row>
    <row r="9" customFormat="false" ht="15" hidden="false" customHeight="false" outlineLevel="0" collapsed="false">
      <c r="A9" s="4" t="s">
        <v>18</v>
      </c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6" t="n">
        <v>4</v>
      </c>
      <c r="B10" s="6" t="s">
        <v>19</v>
      </c>
      <c r="C10" s="6" t="s">
        <v>20</v>
      </c>
      <c r="D10" s="8" t="n">
        <v>15000</v>
      </c>
      <c r="E10" s="6" t="s">
        <v>13</v>
      </c>
      <c r="F10" s="6" t="s">
        <v>21</v>
      </c>
      <c r="G10" s="6" t="s">
        <v>22</v>
      </c>
      <c r="H10" s="9"/>
    </row>
    <row r="11" customFormat="false" ht="15" hidden="false" customHeight="false" outlineLevel="0" collapsed="false">
      <c r="A11" s="6" t="n">
        <v>5</v>
      </c>
      <c r="B11" s="6" t="s">
        <v>19</v>
      </c>
      <c r="C11" s="6" t="s">
        <v>23</v>
      </c>
      <c r="D11" s="8" t="n">
        <v>6000</v>
      </c>
      <c r="E11" s="6" t="s">
        <v>13</v>
      </c>
      <c r="F11" s="6" t="s">
        <v>24</v>
      </c>
      <c r="G11" s="6" t="s">
        <v>25</v>
      </c>
      <c r="H11" s="9"/>
    </row>
    <row r="12" customFormat="false" ht="15" hidden="false" customHeight="false" outlineLevel="0" collapsed="false">
      <c r="A12" s="6" t="n">
        <v>6</v>
      </c>
      <c r="B12" s="6" t="s">
        <v>19</v>
      </c>
      <c r="C12" s="6" t="s">
        <v>26</v>
      </c>
      <c r="D12" s="8" t="n">
        <v>18000</v>
      </c>
      <c r="E12" s="6" t="s">
        <v>13</v>
      </c>
      <c r="F12" s="6" t="s">
        <v>27</v>
      </c>
      <c r="G12" s="6" t="s">
        <v>25</v>
      </c>
      <c r="H12" s="9"/>
    </row>
    <row r="13" customFormat="false" ht="15" hidden="false" customHeight="false" outlineLevel="0" collapsed="false">
      <c r="A13" s="6" t="n">
        <v>7</v>
      </c>
      <c r="B13" s="6" t="s">
        <v>19</v>
      </c>
      <c r="C13" s="6" t="s">
        <v>28</v>
      </c>
      <c r="D13" s="8" t="n">
        <v>15000</v>
      </c>
      <c r="E13" s="6" t="s">
        <v>13</v>
      </c>
      <c r="F13" s="6" t="s">
        <v>29</v>
      </c>
      <c r="G13" s="6" t="s">
        <v>25</v>
      </c>
      <c r="H13" s="9"/>
    </row>
    <row r="14" customFormat="false" ht="15" hidden="false" customHeight="false" outlineLevel="0" collapsed="false">
      <c r="A14" s="6" t="n">
        <v>8</v>
      </c>
      <c r="B14" s="6" t="s">
        <v>19</v>
      </c>
      <c r="C14" s="6" t="s">
        <v>30</v>
      </c>
      <c r="D14" s="8" t="n">
        <v>6000</v>
      </c>
      <c r="E14" s="6" t="s">
        <v>13</v>
      </c>
      <c r="F14" s="6" t="s">
        <v>31</v>
      </c>
      <c r="G14" s="6" t="s">
        <v>32</v>
      </c>
      <c r="H14" s="9"/>
    </row>
    <row r="15" customFormat="false" ht="26.85" hidden="false" customHeight="false" outlineLevel="0" collapsed="false">
      <c r="A15" s="6" t="n">
        <v>9</v>
      </c>
      <c r="B15" s="6" t="s">
        <v>19</v>
      </c>
      <c r="C15" s="6" t="s">
        <v>33</v>
      </c>
      <c r="D15" s="8" t="n">
        <v>120000</v>
      </c>
      <c r="E15" s="6" t="s">
        <v>34</v>
      </c>
      <c r="F15" s="6" t="s">
        <v>35</v>
      </c>
      <c r="G15" s="6" t="s">
        <v>36</v>
      </c>
      <c r="H15" s="9"/>
    </row>
    <row r="16" customFormat="false" ht="15" hidden="false" customHeight="false" outlineLevel="0" collapsed="false">
      <c r="A16" s="6" t="n">
        <v>10</v>
      </c>
      <c r="B16" s="6" t="s">
        <v>19</v>
      </c>
      <c r="C16" s="6" t="s">
        <v>37</v>
      </c>
      <c r="D16" s="8" t="n">
        <v>3360</v>
      </c>
      <c r="E16" s="6" t="s">
        <v>13</v>
      </c>
      <c r="F16" s="6" t="s">
        <v>38</v>
      </c>
      <c r="G16" s="6" t="s">
        <v>39</v>
      </c>
      <c r="H16" s="9"/>
    </row>
    <row r="17" customFormat="false" ht="15" hidden="false" customHeight="false" outlineLevel="0" collapsed="false">
      <c r="A17" s="6" t="n">
        <v>11</v>
      </c>
      <c r="B17" s="6" t="s">
        <v>19</v>
      </c>
      <c r="C17" s="6" t="s">
        <v>40</v>
      </c>
      <c r="D17" s="8" t="n">
        <v>800</v>
      </c>
      <c r="E17" s="6" t="s">
        <v>13</v>
      </c>
      <c r="F17" s="6" t="s">
        <v>41</v>
      </c>
      <c r="G17" s="6" t="s">
        <v>25</v>
      </c>
      <c r="H17" s="9"/>
    </row>
    <row r="18" customFormat="false" ht="26.85" hidden="false" customHeight="false" outlineLevel="0" collapsed="false">
      <c r="A18" s="6" t="n">
        <v>12</v>
      </c>
      <c r="B18" s="6" t="s">
        <v>19</v>
      </c>
      <c r="C18" s="6" t="s">
        <v>42</v>
      </c>
      <c r="D18" s="8" t="n">
        <v>34500</v>
      </c>
      <c r="E18" s="6" t="s">
        <v>43</v>
      </c>
      <c r="F18" s="6" t="s">
        <v>44</v>
      </c>
      <c r="G18" s="6" t="s">
        <v>45</v>
      </c>
      <c r="H18" s="9"/>
    </row>
    <row r="19" customFormat="false" ht="15" hidden="false" customHeight="false" outlineLevel="0" collapsed="false">
      <c r="A19" s="4" t="s">
        <v>46</v>
      </c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6" t="n">
        <v>13</v>
      </c>
      <c r="B20" s="6" t="s">
        <v>11</v>
      </c>
      <c r="C20" s="6" t="s">
        <v>47</v>
      </c>
      <c r="D20" s="8" t="n">
        <v>10618</v>
      </c>
      <c r="E20" s="6" t="s">
        <v>13</v>
      </c>
      <c r="F20" s="6" t="s">
        <v>48</v>
      </c>
      <c r="G20" s="6" t="s">
        <v>49</v>
      </c>
      <c r="H20" s="9"/>
    </row>
    <row r="21" customFormat="false" ht="39.55" hidden="false" customHeight="false" outlineLevel="0" collapsed="false">
      <c r="A21" s="6" t="n">
        <v>14</v>
      </c>
      <c r="B21" s="6" t="s">
        <v>11</v>
      </c>
      <c r="C21" s="6" t="s">
        <v>50</v>
      </c>
      <c r="D21" s="8" t="n">
        <v>2500</v>
      </c>
      <c r="E21" s="6" t="s">
        <v>13</v>
      </c>
      <c r="F21" s="6" t="s">
        <v>51</v>
      </c>
      <c r="G21" s="6" t="s">
        <v>49</v>
      </c>
      <c r="H21" s="9"/>
    </row>
    <row r="22" customFormat="false" ht="15" hidden="false" customHeight="false" outlineLevel="0" collapsed="false">
      <c r="A22" s="6" t="n">
        <v>15</v>
      </c>
      <c r="B22" s="6" t="s">
        <v>11</v>
      </c>
      <c r="C22" s="6" t="s">
        <v>52</v>
      </c>
      <c r="D22" s="8" t="n">
        <v>470</v>
      </c>
      <c r="E22" s="6" t="s">
        <v>13</v>
      </c>
      <c r="F22" s="6" t="s">
        <v>53</v>
      </c>
      <c r="G22" s="6" t="s">
        <v>49</v>
      </c>
      <c r="H22" s="9"/>
    </row>
    <row r="24" customFormat="false" ht="15" hidden="false" customHeight="false" outlineLevel="0" collapsed="false">
      <c r="A24" s="10" t="s">
        <v>54</v>
      </c>
    </row>
    <row r="25" customFormat="false" ht="15" hidden="false" customHeight="false" outlineLevel="0" collapsed="false">
      <c r="C25" s="11" t="s">
        <v>55</v>
      </c>
      <c r="D25" s="12" t="n">
        <v>0.671</v>
      </c>
    </row>
    <row r="26" customFormat="false" ht="15" hidden="false" customHeight="false" outlineLevel="0" collapsed="false">
      <c r="C26" s="11" t="s">
        <v>56</v>
      </c>
      <c r="D26" s="12" t="n">
        <v>0.18</v>
      </c>
    </row>
    <row r="27" customFormat="false" ht="15" hidden="false" customHeight="false" outlineLevel="0" collapsed="false">
      <c r="C27" s="11" t="s">
        <v>57</v>
      </c>
      <c r="D27" s="12" t="n">
        <v>0.15</v>
      </c>
    </row>
    <row r="29" customFormat="false" ht="15" hidden="false" customHeight="false" outlineLevel="0" collapsed="false">
      <c r="A29" s="10" t="s">
        <v>58</v>
      </c>
    </row>
    <row r="30" customFormat="false" ht="15" hidden="false" customHeight="false" outlineLevel="0" collapsed="false">
      <c r="A30" s="11" t="s">
        <v>59</v>
      </c>
    </row>
    <row r="31" customFormat="false" ht="15" hidden="false" customHeight="false" outlineLevel="0" collapsed="false">
      <c r="A31" s="11" t="s">
        <v>60</v>
      </c>
    </row>
    <row r="32" customFormat="false" ht="15" hidden="false" customHeight="false" outlineLevel="0" collapsed="false">
      <c r="A32" s="11" t="s">
        <v>61</v>
      </c>
    </row>
    <row r="33" customFormat="false" ht="15" hidden="false" customHeight="false" outlineLevel="0" collapsed="false">
      <c r="A33" s="11" t="s">
        <v>62</v>
      </c>
    </row>
    <row r="34" customFormat="false" ht="15" hidden="false" customHeight="false" outlineLevel="0" collapsed="false">
      <c r="A34" s="11" t="s">
        <v>63</v>
      </c>
    </row>
    <row r="35" customFormat="false" ht="15" hidden="false" customHeight="false" outlineLevel="0" collapsed="false">
      <c r="A35" s="1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65</v>
      </c>
    </row>
    <row r="3" customFormat="false" ht="26.85" hidden="false" customHeight="false" outlineLevel="0" collapsed="false">
      <c r="A3" s="13" t="s">
        <v>66</v>
      </c>
      <c r="B3" s="13" t="s">
        <v>67</v>
      </c>
      <c r="C3" s="13" t="s">
        <v>5</v>
      </c>
      <c r="D3" s="13" t="s">
        <v>6</v>
      </c>
      <c r="E3" s="13" t="s">
        <v>68</v>
      </c>
      <c r="F3" s="13" t="s">
        <v>69</v>
      </c>
    </row>
    <row r="4" customFormat="false" ht="26.85" hidden="false" customHeight="false" outlineLevel="0" collapsed="false">
      <c r="A4" s="6" t="n">
        <v>1</v>
      </c>
      <c r="B4" s="6" t="s">
        <v>70</v>
      </c>
      <c r="C4" s="6" t="n">
        <v>1</v>
      </c>
      <c r="D4" s="6" t="s">
        <v>34</v>
      </c>
      <c r="E4" s="14"/>
      <c r="F4" s="6" t="s">
        <v>71</v>
      </c>
    </row>
    <row r="5" customFormat="false" ht="26.85" hidden="false" customHeight="false" outlineLevel="0" collapsed="false">
      <c r="A5" s="6" t="n">
        <v>2</v>
      </c>
      <c r="B5" s="6" t="s">
        <v>72</v>
      </c>
      <c r="C5" s="6" t="n">
        <v>10</v>
      </c>
      <c r="D5" s="6" t="s">
        <v>34</v>
      </c>
      <c r="E5" s="14"/>
      <c r="F5" s="6" t="s">
        <v>73</v>
      </c>
    </row>
    <row r="6" customFormat="false" ht="26.85" hidden="false" customHeight="false" outlineLevel="0" collapsed="false">
      <c r="A6" s="6" t="n">
        <v>3</v>
      </c>
      <c r="B6" s="6" t="s">
        <v>74</v>
      </c>
      <c r="C6" s="6" t="n">
        <v>120000</v>
      </c>
      <c r="D6" s="6" t="s">
        <v>34</v>
      </c>
      <c r="E6" s="8" t="n">
        <f aca="false">E4*120000*0.671</f>
        <v>0</v>
      </c>
      <c r="F6" s="6" t="s">
        <v>75</v>
      </c>
    </row>
    <row r="8" customFormat="false" ht="15" hidden="false" customHeight="false" outlineLevel="0" collapsed="false">
      <c r="A8" s="10" t="s">
        <v>76</v>
      </c>
      <c r="E8" s="15" t="str">
        <f aca="false">IFERROR(E5/E4,"enter results")</f>
        <v>enter results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2026-10-23T16:47:51Z</dcterms:created>
  <dc:creator>openpyxl</dc:creator>
  <dc:description/>
  <dc:language>en-US</dc:language>
  <cp:lastModifiedBy/>
  <dcterms:modified xsi:type="dcterms:W3CDTF">2026-10-23T16:47:51Z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